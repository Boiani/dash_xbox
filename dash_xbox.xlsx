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7e8162bdcda01/TREINAMENTOS/DIO/EXCEL COM IA-SANTANDER/Criando um Dashboard de Vendas do Xbox com Excel/"/>
    </mc:Choice>
  </mc:AlternateContent>
  <xr:revisionPtr revIDLastSave="453" documentId="13_ncr:1_{3C2F8ED6-40B2-4E08-832A-7140AC03FA60}" xr6:coauthVersionLast="47" xr6:coauthVersionMax="47" xr10:uidLastSave="{81428DB1-274B-4F20-902A-1D5D5F3FA237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3" i="3"/>
  <c r="F33" i="3" l="1"/>
  <c r="F23" i="3"/>
</calcChain>
</file>

<file path=xl/sharedStrings.xml><?xml version="1.0" encoding="utf-8"?>
<sst xmlns="http://schemas.openxmlformats.org/spreadsheetml/2006/main" count="2027" uniqueCount="327">
  <si>
    <t>Paleta de Cores</t>
  </si>
  <si>
    <t>Logos</t>
  </si>
  <si>
    <t># 9BC848</t>
  </si>
  <si>
    <t># 22C55E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</si>
  <si>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</si>
  <si>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</si>
  <si>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</si>
  <si>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</si>
  <si>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</si>
  <si>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</si>
  <si>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</si>
  <si>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</si>
  <si>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</si>
  <si>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</si>
  <si>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</si>
  <si>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</si>
  <si>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</si>
  <si>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</si>
  <si>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</si>
  <si>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</si>
  <si>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</si>
  <si>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</si>
  <si>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</si>
  <si>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</si>
  <si>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</si>
  <si>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</si>
  <si>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</si>
  <si>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</si>
  <si>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</si>
  <si>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</si>
  <si>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</si>
  <si>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</si>
  <si>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</si>
  <si>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</si>
  <si>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</si>
  <si>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</si>
  <si>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</si>
  <si>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</si>
  <si>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</si>
  <si>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</si>
  <si>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</si>
  <si>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</si>
  <si>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</si>
  <si>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</si>
  <si>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</si>
  <si>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</si>
  <si>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</si>
  <si>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</si>
  <si>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</si>
  <si>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</si>
  <si>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</si>
  <si>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</si>
  <si>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</si>
  <si>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</si>
  <si>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</si>
  <si>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</si>
  <si>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</si>
  <si>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</si>
  <si>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</si>
  <si>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</si>
  <si>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</si>
  <si>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</si>
  <si>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</si>
  <si>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</si>
  <si>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</si>
  <si>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</si>
  <si>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</si>
  <si>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</si>
  <si>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</si>
  <si>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</si>
  <si>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</si>
  <si>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</si>
  <si>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</si>
  <si>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</si>
  <si>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</si>
  <si>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</si>
  <si>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</si>
  <si>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</si>
  <si>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</si>
  <si>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</si>
  <si>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</si>
  <si>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</si>
  <si>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</si>
  <si>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</si>
  <si>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</si>
  <si>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</si>
  <si>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</si>
  <si>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</si>
  <si>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</si>
  <si>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</si>
  <si>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</si>
  <si>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</si>
  <si>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</si>
  <si>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</si>
  <si>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</si>
  <si>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</si>
  <si>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</si>
  <si>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</si>
  <si>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</si>
  <si>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</si>
  <si>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</si>
  <si>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</si>
  <si>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</si>
  <si>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</si>
  <si>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</si>
  <si>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</si>
  <si>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</si>
  <si>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</si>
  <si>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</si>
  <si>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</si>
  <si>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</si>
  <si>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</si>
  <si>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</si>
  <si>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</si>
  <si>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</si>
  <si>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</si>
  <si>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</si>
  <si>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</si>
  <si>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</si>
  <si>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</si>
  <si>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</si>
  <si>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</si>
  <si>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</si>
  <si>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</si>
  <si>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</si>
  <si>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</si>
  <si>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</si>
  <si>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</si>
  <si>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</si>
  <si>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</si>
  <si>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</si>
  <si>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</si>
  <si>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</si>
  <si>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</si>
  <si>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</si>
  <si>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</si>
  <si>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</si>
  <si>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</si>
  <si>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</si>
  <si>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</si>
  <si>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</si>
  <si>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</si>
  <si>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</si>
  <si>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</si>
  <si>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</si>
  <si>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</si>
  <si>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</si>
  <si>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</si>
  <si>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</si>
  <si>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</si>
  <si>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</si>
  <si>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</si>
  <si>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</si>
  <si>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</si>
  <si>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</si>
  <si>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</si>
  <si>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</si>
  <si>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</si>
  <si>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</si>
  <si>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</si>
  <si>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</si>
  <si>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</si>
  <si>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</si>
  <si>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</si>
  <si>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</si>
  <si>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</si>
  <si>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</si>
  <si>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</si>
  <si>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</si>
  <si>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</si>
  <si>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</si>
  <si>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</si>
  <si>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</si>
  <si>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</si>
  <si>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</si>
  <si>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</si>
  <si>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</si>
  <si>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</si>
  <si>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</si>
  <si>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</si>
  <si>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</si>
  <si>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</si>
  <si>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</si>
  <si>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</si>
  <si>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</si>
  <si>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</si>
  <si>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</si>
  <si>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</si>
  <si>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</si>
  <si>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</si>
  <si>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</si>
  <si>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</si>
  <si>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</si>
  <si>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</si>
  <si>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</si>
  <si>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</si>
  <si>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</si>
  <si>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</si>
  <si>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</si>
  <si>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</si>
  <si>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</si>
  <si>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</si>
  <si>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</si>
  <si>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</si>
  <si>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</si>
  <si>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</si>
  <si>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</si>
  <si>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</si>
  <si>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</si>
  <si>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</si>
  <si>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</si>
  <si>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</si>
  <si>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</si>
  <si>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</si>
  <si>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</si>
  <si>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</si>
  <si>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</si>
  <si>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</si>
  <si>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</si>
  <si>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</si>
  <si>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</si>
  <si>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</si>
  <si>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</si>
  <si>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</si>
  <si>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</si>
  <si>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</si>
  <si>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</si>
  <si>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</si>
  <si>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</si>
  <si>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</si>
  <si>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</si>
  <si>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</si>
  <si>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</si>
  <si>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</si>
  <si>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</si>
  <si>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</si>
  <si>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</si>
  <si>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</si>
  <si>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</si>
  <si>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</si>
  <si>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</si>
  <si>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</si>
  <si>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</si>
  <si>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</si>
  <si>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</si>
  <si>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</si>
  <si>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</si>
  <si>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</si>
  <si>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</si>
  <si>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</si>
  <si>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</si>
  <si>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</si>
  <si>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</si>
  <si>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</si>
  <si>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</si>
  <si>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</si>
  <si>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</si>
  <si>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</si>
  <si>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</si>
  <si>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</si>
  <si>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</si>
  <si>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</si>
  <si>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</si>
  <si>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</si>
  <si>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</si>
  <si>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</si>
  <si>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</si>
  <si>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</si>
  <si>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</si>
  <si>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</si>
  <si>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</si>
  <si>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</si>
  <si>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</si>
  <si>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</si>
  <si>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</si>
  <si>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</si>
  <si>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</si>
  <si>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</si>
  <si>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</si>
  <si>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</si>
  <si>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</si>
  <si>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</si>
  <si>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</si>
  <si>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</si>
  <si>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</si>
  <si>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</si>
  <si>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</si>
  <si>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</si>
  <si>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</si>
  <si>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</si>
  <si>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</si>
  <si>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</si>
  <si>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</si>
  <si>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</si>
  <si>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</si>
  <si>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</si>
  <si>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</si>
  <si>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</si>
  <si>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</si>
  <si>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</si>
  <si>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</si>
  <si>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</si>
  <si>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</si>
  <si>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</si>
  <si>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</si>
  <si>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</si>
  <si>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</si>
  <si>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</si>
  <si>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</si>
  <si>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</si>
  <si>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</si>
  <si>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</si>
  <si>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Rótulos de Linha</t>
  </si>
  <si>
    <t>Total Geral</t>
  </si>
  <si>
    <t>Soma de Total Value</t>
  </si>
  <si>
    <r>
      <t xml:space="preserve">Pergunta de negócio 2-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não auto renovação</t>
    </r>
  </si>
  <si>
    <r>
      <t xml:space="preserve">É uma pergunta de negócio respondida através de alguma análise de dado específica </t>
    </r>
    <r>
      <rPr>
        <u/>
        <sz val="12"/>
        <color theme="1"/>
        <rFont val="Aptos Narrow"/>
        <family val="2"/>
        <scheme val="minor"/>
      </rPr>
      <t>transforma DADOS em INFORMAÇÃO</t>
    </r>
  </si>
  <si>
    <t>#2AE6B1</t>
  </si>
  <si>
    <t>#E8E6E9</t>
  </si>
  <si>
    <t>XBOX GAME PASS SUBSCRIPTION SALES</t>
  </si>
  <si>
    <t>Pergunta de negócio 3 - Total de assinaturas do EA Play</t>
  </si>
  <si>
    <t>Soma de EA Play Season Pass</t>
  </si>
  <si>
    <t>BIG number</t>
  </si>
  <si>
    <t>Espelho</t>
  </si>
  <si>
    <t>Pergunta de negócio 4 - Total de assinaturas do Minecraft Season Pass</t>
  </si>
  <si>
    <t>Soma de Minecraft Season Pass Price</t>
  </si>
  <si>
    <t>Bem vindo, Dudu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</si>
</sst>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Border="1"/>
    <xf numFmtId="0" fontId="0" fillId="0" borderId="0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5" fillId="8" borderId="0" xfId="0" applyFont="1" applyFill="1" applyAlignment="1">
      <alignment horizontal="center"/>
    </xf>
    <xf numFmtId="0" fontId="7" fillId="0" borderId="2" xfId="1" applyFont="1" applyBorder="1"/>
    <xf numFmtId="0" fontId="0" fillId="0" borderId="0" xfId="0" applyNumberFormat="1"/>
    <xf numFmtId="169" fontId="0" fillId="0" borderId="0" xfId="0" applyNumberFormat="1"/>
    <xf numFmtId="0" fontId="0" fillId="0" borderId="2" xfId="0" applyBorder="1"/>
    <xf numFmtId="0" fontId="4" fillId="4" borderId="0" xfId="0" applyFont="1" applyFill="1" applyAlignment="1">
      <alignment horizontal="left" indent="2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7CCBC1C-DCCE-49AB-A3E9-9750FDA1EEE7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[base.xlsx]C̳álculos!tbl_total_annual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5463474991356949E-2"/>
          <c:y val="0.11596907466414566"/>
          <c:w val="0.82330823398634645"/>
          <c:h val="0.659545648726707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C-4B14-8815-BCD1679B45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3404271"/>
        <c:axId val="1003404751"/>
      </c:barChart>
      <c:catAx>
        <c:axId val="100340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3404751"/>
        <c:crosses val="autoZero"/>
        <c:auto val="1"/>
        <c:lblAlgn val="ctr"/>
        <c:lblOffset val="100"/>
        <c:noMultiLvlLbl val="0"/>
      </c:catAx>
      <c:valAx>
        <c:axId val="10034047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0340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27</xdr:row>
      <xdr:rowOff>0</xdr:rowOff>
    </xdr:from>
    <xdr:to>
      <xdr:col>14</xdr:col>
      <xdr:colOff>304800</xdr:colOff>
      <xdr:row>28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142871</xdr:colOff>
      <xdr:row>0</xdr:row>
      <xdr:rowOff>83342</xdr:rowOff>
    </xdr:from>
    <xdr:to>
      <xdr:col>1</xdr:col>
      <xdr:colOff>833435</xdr:colOff>
      <xdr:row>2</xdr:row>
      <xdr:rowOff>263491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859266-FE75-46F0-B9AA-08F945784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3977" r="74422" b="18467"/>
        <a:stretch>
          <a:fillRect/>
        </a:stretch>
      </xdr:blipFill>
      <xdr:spPr>
        <a:xfrm>
          <a:off x="1988340" y="83342"/>
          <a:ext cx="690564" cy="870712"/>
        </a:xfrm>
        <a:prstGeom prst="rect">
          <a:avLst/>
        </a:prstGeom>
      </xdr:spPr>
    </xdr:pic>
    <xdr:clientData/>
  </xdr:twoCellAnchor>
  <xdr:twoCellAnchor editAs="oneCell">
    <xdr:from>
      <xdr:col>0</xdr:col>
      <xdr:colOff>59532</xdr:colOff>
      <xdr:row>7</xdr:row>
      <xdr:rowOff>192881</xdr:rowOff>
    </xdr:from>
    <xdr:to>
      <xdr:col>0</xdr:col>
      <xdr:colOff>1785937</xdr:colOff>
      <xdr:row>13</xdr:row>
      <xdr:rowOff>107156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2240770-8E21-415F-9BBA-772BC24596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2" y="2078831"/>
              <a:ext cx="172640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201839</xdr:colOff>
      <xdr:row>7</xdr:row>
      <xdr:rowOff>259424</xdr:rowOff>
    </xdr:from>
    <xdr:to>
      <xdr:col>10</xdr:col>
      <xdr:colOff>372495</xdr:colOff>
      <xdr:row>21</xdr:row>
      <xdr:rowOff>53616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05EBFED-6E61-A0DE-44A9-479F4A6D2E62}"/>
            </a:ext>
          </a:extLst>
        </xdr:cNvPr>
        <xdr:cNvGrpSpPr/>
      </xdr:nvGrpSpPr>
      <xdr:grpSpPr>
        <a:xfrm>
          <a:off x="2049689" y="2145374"/>
          <a:ext cx="6152356" cy="2689792"/>
          <a:chOff x="2026708" y="1314980"/>
          <a:chExt cx="6193896" cy="2700072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B257F9EF-6956-5E78-C772-E138584B1DBC}"/>
              </a:ext>
            </a:extLst>
          </xdr:cNvPr>
          <xdr:cNvSpPr/>
        </xdr:nvSpPr>
        <xdr:spPr>
          <a:xfrm>
            <a:off x="2030676" y="1410230"/>
            <a:ext cx="6189928" cy="260482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8" name="Retângulo 7">
            <a:extLst>
              <a:ext uri="{FF2B5EF4-FFF2-40B4-BE49-F238E27FC236}">
                <a16:creationId xmlns:a16="http://schemas.microsoft.com/office/drawing/2014/main" id="{B5CF138D-F5CF-4605-A4F3-0847085801DC}"/>
              </a:ext>
            </a:extLst>
          </xdr:cNvPr>
          <xdr:cNvSpPr/>
        </xdr:nvSpPr>
        <xdr:spPr>
          <a:xfrm>
            <a:off x="3355177" y="2032267"/>
            <a:ext cx="4787372" cy="18187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13E120E-8A62-49F3-98B2-BC4AA4988FB3}" type="TxLink">
              <a:rPr lang="en-US" sz="7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en-US" sz="7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099E71D-F959-497A-A6B9-4B6E8FD076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2031" y="2332039"/>
            <a:ext cx="123243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0D314466-8997-7089-3D63-E38A5AFC9420}"/>
              </a:ext>
            </a:extLst>
          </xdr:cNvPr>
          <xdr:cNvSpPr/>
        </xdr:nvSpPr>
        <xdr:spPr>
          <a:xfrm>
            <a:off x="2026708" y="1314980"/>
            <a:ext cx="6193896" cy="57414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11</xdr:col>
      <xdr:colOff>268249</xdr:colOff>
      <xdr:row>7</xdr:row>
      <xdr:rowOff>259424</xdr:rowOff>
    </xdr:from>
    <xdr:to>
      <xdr:col>21</xdr:col>
      <xdr:colOff>490499</xdr:colOff>
      <xdr:row>21</xdr:row>
      <xdr:rowOff>53616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F81AB7F8-D511-C279-F9AF-BECD46ED56CD}"/>
            </a:ext>
          </a:extLst>
        </xdr:cNvPr>
        <xdr:cNvGrpSpPr/>
      </xdr:nvGrpSpPr>
      <xdr:grpSpPr>
        <a:xfrm>
          <a:off x="8707399" y="2145374"/>
          <a:ext cx="6146800" cy="2689792"/>
          <a:chOff x="8402108" y="1298047"/>
          <a:chExt cx="6193896" cy="2700072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58945CE8-EBBF-B5F0-7D98-1CC24710CCCA}"/>
              </a:ext>
            </a:extLst>
          </xdr:cNvPr>
          <xdr:cNvSpPr/>
        </xdr:nvSpPr>
        <xdr:spPr>
          <a:xfrm>
            <a:off x="8406076" y="1393297"/>
            <a:ext cx="6189928" cy="260482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2C55E"/>
              </a:solidFill>
            </a:endParaRPr>
          </a:p>
        </xdr:txBody>
      </xdr:sp>
      <xdr:sp macro="" textlink="C̳álculos!F33">
        <xdr:nvSpPr>
          <xdr:cNvPr id="14" name="Retângulo 13">
            <a:extLst>
              <a:ext uri="{FF2B5EF4-FFF2-40B4-BE49-F238E27FC236}">
                <a16:creationId xmlns:a16="http://schemas.microsoft.com/office/drawing/2014/main" id="{07EAE70A-76F4-6C7A-713A-890749BE2127}"/>
              </a:ext>
            </a:extLst>
          </xdr:cNvPr>
          <xdr:cNvSpPr/>
        </xdr:nvSpPr>
        <xdr:spPr>
          <a:xfrm>
            <a:off x="9730577" y="2015334"/>
            <a:ext cx="4787372" cy="181874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ABF12F1-9159-4350-854B-5549C41F202A}" type="TxLink">
              <a:rPr lang="en-US" sz="7200" b="0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en-US" sz="72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1472273F-3C47-2F9B-E492-BC1034D6A478}"/>
              </a:ext>
            </a:extLst>
          </xdr:cNvPr>
          <xdr:cNvSpPr/>
        </xdr:nvSpPr>
        <xdr:spPr>
          <a:xfrm>
            <a:off x="8402108" y="1298047"/>
            <a:ext cx="6193896" cy="57414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SUBSCRIPTION</a:t>
            </a:r>
            <a:r>
              <a:rPr lang="pt-BR" sz="11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MINECRAFT</a:t>
            </a:r>
            <a:r>
              <a:rPr lang="pt-BR" sz="1100" b="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1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E8D9516B-522A-4870-91A2-181F94CA8AFB}"/>
              </a:ext>
            </a:extLst>
          </xdr:cNvPr>
          <xdr:cNvGrpSpPr/>
        </xdr:nvGrpSpPr>
        <xdr:grpSpPr>
          <a:xfrm>
            <a:off x="8529108" y="2631547"/>
            <a:ext cx="1154642" cy="628120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096267DE-9A23-0763-30DA-C599A1F59B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2C6B4099-55C8-8541-0905-8F5021321A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110558</xdr:colOff>
      <xdr:row>22</xdr:row>
      <xdr:rowOff>568</xdr:rowOff>
    </xdr:from>
    <xdr:to>
      <xdr:col>21</xdr:col>
      <xdr:colOff>515370</xdr:colOff>
      <xdr:row>40</xdr:row>
      <xdr:rowOff>163286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9552419D-5B52-09AC-FCC8-3A1F6551B338}"/>
            </a:ext>
          </a:extLst>
        </xdr:cNvPr>
        <xdr:cNvGrpSpPr/>
      </xdr:nvGrpSpPr>
      <xdr:grpSpPr>
        <a:xfrm>
          <a:off x="1958408" y="4972618"/>
          <a:ext cx="12920662" cy="3591718"/>
          <a:chOff x="1928813" y="4087813"/>
          <a:chExt cx="12580148" cy="359171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5034AA7-769B-57F7-ADAE-5A811B9D0E88}"/>
              </a:ext>
            </a:extLst>
          </xdr:cNvPr>
          <xdr:cNvGrpSpPr/>
        </xdr:nvGrpSpPr>
        <xdr:grpSpPr>
          <a:xfrm>
            <a:off x="1955272" y="4087813"/>
            <a:ext cx="12550510" cy="3591718"/>
            <a:chOff x="2882840" y="1715240"/>
            <a:chExt cx="6215062" cy="368305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0532FB0-794D-CA8C-DA26-2CFEC19503BF}"/>
                </a:ext>
              </a:extLst>
            </xdr:cNvPr>
            <xdr:cNvSpPr/>
          </xdr:nvSpPr>
          <xdr:spPr>
            <a:xfrm>
              <a:off x="2882840" y="1715240"/>
              <a:ext cx="6215062" cy="3167061"/>
            </a:xfrm>
            <a:prstGeom prst="roundRect">
              <a:avLst>
                <a:gd name="adj" fmla="val 83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60DE5AF-EE3E-4B4C-930C-0D2C523CF73F}"/>
                </a:ext>
              </a:extLst>
            </xdr:cNvPr>
            <xdr:cNvGraphicFramePr>
              <a:graphicFrameLocks/>
            </xdr:cNvGraphicFramePr>
          </xdr:nvGraphicFramePr>
          <xdr:xfrm>
            <a:off x="3010631" y="2107405"/>
            <a:ext cx="5928580" cy="32908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45569DB9-FA5F-4F09-9B8D-834C1CE140FA}"/>
              </a:ext>
            </a:extLst>
          </xdr:cNvPr>
          <xdr:cNvSpPr/>
        </xdr:nvSpPr>
        <xdr:spPr>
          <a:xfrm>
            <a:off x="1928813" y="4097075"/>
            <a:ext cx="12580148" cy="5741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XBOX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GAMES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142876</xdr:colOff>
      <xdr:row>1</xdr:row>
      <xdr:rowOff>11906</xdr:rowOff>
    </xdr:from>
    <xdr:to>
      <xdr:col>0</xdr:col>
      <xdr:colOff>838201</xdr:colOff>
      <xdr:row>2</xdr:row>
      <xdr:rowOff>207168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6374E836-59D4-4677-833A-2C51046A5D91}"/>
            </a:ext>
          </a:extLst>
        </xdr:cNvPr>
        <xdr:cNvSpPr/>
      </xdr:nvSpPr>
      <xdr:spPr>
        <a:xfrm>
          <a:off x="142876" y="202406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136072</xdr:colOff>
      <xdr:row>3</xdr:row>
      <xdr:rowOff>27215</xdr:rowOff>
    </xdr:from>
    <xdr:to>
      <xdr:col>15</xdr:col>
      <xdr:colOff>312964</xdr:colOff>
      <xdr:row>5</xdr:row>
      <xdr:rowOff>367392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9F2FD7E4-D279-9283-77EB-C7A97DDFB880}"/>
            </a:ext>
          </a:extLst>
        </xdr:cNvPr>
        <xdr:cNvSpPr txBox="1"/>
      </xdr:nvSpPr>
      <xdr:spPr>
        <a:xfrm>
          <a:off x="1986643" y="1197429"/>
          <a:ext cx="9062357" cy="530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2">
                  <a:lumMod val="50000"/>
                </a:schemeClr>
              </a:solidFill>
            </a:rPr>
            <a:t>Calculation period: 01/01/2024 - 31/12/2024 | Update date: 03/01/2026 20:28h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Boiani" refreshedDate="46025.768213888892" createdVersion="8" refreshedVersion="8" minRefreshableVersion="3" recordCount="295" xr:uid="{DE61E3DD-BC57-4403-AC13-73106127D60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Core"/>
        <s v="Standard"/>
        <s v="Ultimate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664845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0"/>
    <d v="2024-01-15T00:00:00"/>
    <x v="1"/>
    <n v="5"/>
    <x v="1"/>
    <s v="No"/>
    <x v="1"/>
    <s v="No"/>
    <n v="0"/>
    <n v="0"/>
    <n v="5"/>
  </r>
  <r>
    <n v="3233"/>
    <x v="2"/>
    <x v="1"/>
    <d v="2024-02-10T00:00:00"/>
    <x v="0"/>
    <n v="10"/>
    <x v="2"/>
    <s v="No"/>
    <x v="1"/>
    <s v="Yes"/>
    <n v="20"/>
    <n v="10"/>
    <n v="20"/>
  </r>
  <r>
    <n v="3234"/>
    <x v="3"/>
    <x v="2"/>
    <d v="2024-02-20T00:00:00"/>
    <x v="1"/>
    <n v="15"/>
    <x v="0"/>
    <s v="Yes"/>
    <x v="0"/>
    <s v="Yes"/>
    <n v="20"/>
    <n v="3"/>
    <n v="62"/>
  </r>
  <r>
    <n v="3235"/>
    <x v="4"/>
    <x v="0"/>
    <d v="2024-03-05T00:00:00"/>
    <x v="0"/>
    <n v="5"/>
    <x v="0"/>
    <s v="No"/>
    <x v="1"/>
    <s v="No"/>
    <n v="0"/>
    <n v="1"/>
    <n v="4"/>
  </r>
  <r>
    <n v="3236"/>
    <x v="5"/>
    <x v="1"/>
    <d v="2024-03-02T00:00:00"/>
    <x v="1"/>
    <n v="10"/>
    <x v="0"/>
    <s v="No"/>
    <x v="1"/>
    <s v="Yes"/>
    <n v="20"/>
    <n v="2"/>
    <n v="28"/>
  </r>
  <r>
    <n v="3237"/>
    <x v="6"/>
    <x v="1"/>
    <d v="2024-03-03T00:00:00"/>
    <x v="0"/>
    <n v="15"/>
    <x v="2"/>
    <s v="Yes"/>
    <x v="0"/>
    <s v="Yes"/>
    <n v="20"/>
    <n v="10"/>
    <n v="55"/>
  </r>
  <r>
    <n v="3238"/>
    <x v="7"/>
    <x v="0"/>
    <d v="2024-03-04T00:00:00"/>
    <x v="0"/>
    <n v="5"/>
    <x v="1"/>
    <s v="No"/>
    <x v="1"/>
    <s v="No"/>
    <n v="0"/>
    <n v="0"/>
    <n v="5"/>
  </r>
  <r>
    <n v="3239"/>
    <x v="8"/>
    <x v="1"/>
    <d v="2024-03-05T00:00:00"/>
    <x v="1"/>
    <n v="15"/>
    <x v="0"/>
    <s v="Yes"/>
    <x v="0"/>
    <s v="Yes"/>
    <n v="20"/>
    <n v="5"/>
    <n v="60"/>
  </r>
  <r>
    <n v="3240"/>
    <x v="9"/>
    <x v="1"/>
    <d v="2024-03-06T00:00:00"/>
    <x v="0"/>
    <n v="10"/>
    <x v="2"/>
    <s v="No"/>
    <x v="1"/>
    <s v="Yes"/>
    <n v="20"/>
    <n v="15"/>
    <n v="15"/>
  </r>
  <r>
    <n v="3241"/>
    <x v="10"/>
    <x v="0"/>
    <d v="2024-03-07T00:00:00"/>
    <x v="1"/>
    <n v="5"/>
    <x v="0"/>
    <s v="No"/>
    <x v="1"/>
    <s v="No"/>
    <n v="0"/>
    <n v="1"/>
    <n v="4"/>
  </r>
  <r>
    <n v="3242"/>
    <x v="11"/>
    <x v="1"/>
    <d v="2024-03-08T00:00:00"/>
    <x v="0"/>
    <n v="15"/>
    <x v="1"/>
    <s v="Yes"/>
    <x v="0"/>
    <s v="Yes"/>
    <n v="20"/>
    <n v="20"/>
    <n v="45"/>
  </r>
  <r>
    <n v="3243"/>
    <x v="12"/>
    <x v="1"/>
    <d v="2024-03-09T00:00:00"/>
    <x v="1"/>
    <n v="10"/>
    <x v="0"/>
    <s v="No"/>
    <x v="1"/>
    <s v="Yes"/>
    <n v="20"/>
    <n v="10"/>
    <n v="20"/>
  </r>
  <r>
    <n v="3244"/>
    <x v="13"/>
    <x v="0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1"/>
    <d v="2024-03-12T00:00:00"/>
    <x v="0"/>
    <n v="10"/>
    <x v="1"/>
    <s v="No"/>
    <x v="1"/>
    <s v="Yes"/>
    <n v="20"/>
    <n v="12"/>
    <n v="18"/>
  </r>
  <r>
    <n v="3247"/>
    <x v="16"/>
    <x v="0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1"/>
    <d v="2024-03-15T00:00:00"/>
    <x v="1"/>
    <n v="10"/>
    <x v="0"/>
    <s v="No"/>
    <x v="1"/>
    <s v="Yes"/>
    <n v="20"/>
    <n v="5"/>
    <n v="25"/>
  </r>
  <r>
    <n v="3250"/>
    <x v="19"/>
    <x v="0"/>
    <d v="2024-03-16T00:00:00"/>
    <x v="0"/>
    <n v="5"/>
    <x v="1"/>
    <s v="No"/>
    <x v="1"/>
    <s v="No"/>
    <n v="0"/>
    <n v="0"/>
    <n v="5"/>
  </r>
  <r>
    <n v="3251"/>
    <x v="20"/>
    <x v="1"/>
    <d v="2024-03-17T00:00:00"/>
    <x v="1"/>
    <n v="15"/>
    <x v="0"/>
    <s v="Yes"/>
    <x v="0"/>
    <s v="Yes"/>
    <n v="20"/>
    <n v="3"/>
    <n v="62"/>
  </r>
  <r>
    <n v="3252"/>
    <x v="21"/>
    <x v="1"/>
    <d v="2024-03-18T00:00:00"/>
    <x v="0"/>
    <n v="10"/>
    <x v="2"/>
    <s v="No"/>
    <x v="1"/>
    <s v="Yes"/>
    <n v="20"/>
    <n v="15"/>
    <n v="15"/>
  </r>
  <r>
    <n v="3253"/>
    <x v="22"/>
    <x v="0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1"/>
    <d v="2024-03-21T00:00:00"/>
    <x v="1"/>
    <n v="10"/>
    <x v="0"/>
    <s v="No"/>
    <x v="1"/>
    <s v="Yes"/>
    <n v="20"/>
    <n v="10"/>
    <n v="20"/>
  </r>
  <r>
    <n v="3256"/>
    <x v="25"/>
    <x v="0"/>
    <d v="2024-03-22T00:00:00"/>
    <x v="0"/>
    <n v="5"/>
    <x v="2"/>
    <s v="No"/>
    <x v="1"/>
    <s v="No"/>
    <n v="0"/>
    <n v="0"/>
    <n v="5"/>
  </r>
  <r>
    <n v="3257"/>
    <x v="26"/>
    <x v="2"/>
    <d v="2024-03-23T00:00:00"/>
    <x v="1"/>
    <n v="15"/>
    <x v="0"/>
    <s v="Yes"/>
    <x v="0"/>
    <s v="Yes"/>
    <n v="20"/>
    <n v="5"/>
    <n v="60"/>
  </r>
  <r>
    <n v="3258"/>
    <x v="27"/>
    <x v="1"/>
    <d v="2024-03-24T00:00:00"/>
    <x v="0"/>
    <n v="10"/>
    <x v="1"/>
    <s v="No"/>
    <x v="1"/>
    <s v="Yes"/>
    <n v="20"/>
    <n v="15"/>
    <n v="15"/>
  </r>
  <r>
    <n v="3259"/>
    <x v="28"/>
    <x v="0"/>
    <d v="2024-03-25T00:00:00"/>
    <x v="1"/>
    <n v="5"/>
    <x v="0"/>
    <s v="No"/>
    <x v="1"/>
    <s v="No"/>
    <n v="0"/>
    <n v="1"/>
    <n v="4"/>
  </r>
  <r>
    <n v="3260"/>
    <x v="29"/>
    <x v="1"/>
    <d v="2024-03-26T00:00:00"/>
    <x v="0"/>
    <n v="15"/>
    <x v="2"/>
    <s v="Yes"/>
    <x v="0"/>
    <s v="Yes"/>
    <n v="20"/>
    <n v="7"/>
    <n v="58"/>
  </r>
  <r>
    <n v="3261"/>
    <x v="30"/>
    <x v="1"/>
    <d v="2024-03-27T00:00:00"/>
    <x v="1"/>
    <n v="10"/>
    <x v="0"/>
    <s v="No"/>
    <x v="1"/>
    <s v="Yes"/>
    <n v="20"/>
    <n v="10"/>
    <n v="20"/>
  </r>
  <r>
    <n v="3262"/>
    <x v="31"/>
    <x v="0"/>
    <d v="2024-03-28T00:00:00"/>
    <x v="0"/>
    <n v="5"/>
    <x v="1"/>
    <s v="No"/>
    <x v="1"/>
    <s v="No"/>
    <n v="0"/>
    <n v="0"/>
    <n v="5"/>
  </r>
  <r>
    <n v="3263"/>
    <x v="32"/>
    <x v="1"/>
    <d v="2024-03-29T00:00:00"/>
    <x v="1"/>
    <n v="15"/>
    <x v="0"/>
    <s v="Yes"/>
    <x v="0"/>
    <s v="Yes"/>
    <n v="20"/>
    <n v="3"/>
    <n v="62"/>
  </r>
  <r>
    <n v="3264"/>
    <x v="33"/>
    <x v="1"/>
    <d v="2024-03-30T00:00:00"/>
    <x v="0"/>
    <n v="10"/>
    <x v="2"/>
    <s v="No"/>
    <x v="1"/>
    <s v="Yes"/>
    <n v="20"/>
    <n v="15"/>
    <n v="15"/>
  </r>
  <r>
    <n v="3265"/>
    <x v="34"/>
    <x v="0"/>
    <d v="2024-03-31T00:00:00"/>
    <x v="1"/>
    <n v="5"/>
    <x v="0"/>
    <s v="No"/>
    <x v="1"/>
    <s v="No"/>
    <n v="0"/>
    <n v="1"/>
    <n v="4"/>
  </r>
  <r>
    <n v="3266"/>
    <x v="35"/>
    <x v="0"/>
    <d v="2024-04-01T00:00:00"/>
    <x v="0"/>
    <n v="5"/>
    <x v="0"/>
    <s v="No"/>
    <x v="1"/>
    <s v="No"/>
    <n v="0"/>
    <n v="0"/>
    <n v="5"/>
  </r>
  <r>
    <n v="3267"/>
    <x v="36"/>
    <x v="2"/>
    <d v="2024-04-02T00:00:00"/>
    <x v="1"/>
    <n v="15"/>
    <x v="2"/>
    <s v="Yes"/>
    <x v="0"/>
    <s v="Yes"/>
    <n v="20"/>
    <n v="7"/>
    <n v="58"/>
  </r>
  <r>
    <n v="3268"/>
    <x v="37"/>
    <x v="1"/>
    <d v="2024-04-03T00:00:00"/>
    <x v="0"/>
    <n v="10"/>
    <x v="1"/>
    <s v="No"/>
    <x v="1"/>
    <s v="Yes"/>
    <n v="20"/>
    <n v="10"/>
    <n v="20"/>
  </r>
  <r>
    <n v="3269"/>
    <x v="38"/>
    <x v="0"/>
    <d v="2024-04-04T00:00:00"/>
    <x v="1"/>
    <n v="5"/>
    <x v="2"/>
    <s v="No"/>
    <x v="1"/>
    <s v="No"/>
    <n v="0"/>
    <n v="1"/>
    <n v="4"/>
  </r>
  <r>
    <n v="3270"/>
    <x v="39"/>
    <x v="2"/>
    <d v="2024-04-05T00:00:00"/>
    <x v="0"/>
    <n v="15"/>
    <x v="0"/>
    <s v="Yes"/>
    <x v="0"/>
    <s v="Yes"/>
    <n v="20"/>
    <n v="15"/>
    <n v="50"/>
  </r>
  <r>
    <n v="3271"/>
    <x v="40"/>
    <x v="1"/>
    <d v="2024-04-06T00:00:00"/>
    <x v="1"/>
    <n v="10"/>
    <x v="0"/>
    <s v="No"/>
    <x v="1"/>
    <s v="Yes"/>
    <n v="20"/>
    <n v="5"/>
    <n v="25"/>
  </r>
  <r>
    <n v="3272"/>
    <x v="41"/>
    <x v="0"/>
    <d v="2024-04-07T00:00:00"/>
    <x v="0"/>
    <n v="5"/>
    <x v="1"/>
    <s v="No"/>
    <x v="1"/>
    <s v="No"/>
    <n v="0"/>
    <n v="0"/>
    <n v="5"/>
  </r>
  <r>
    <n v="3273"/>
    <x v="42"/>
    <x v="2"/>
    <d v="2024-04-08T00:00:00"/>
    <x v="1"/>
    <n v="15"/>
    <x v="2"/>
    <s v="Yes"/>
    <x v="0"/>
    <s v="Yes"/>
    <n v="20"/>
    <n v="20"/>
    <n v="45"/>
  </r>
  <r>
    <n v="3274"/>
    <x v="43"/>
    <x v="1"/>
    <d v="2024-04-09T00:00:00"/>
    <x v="0"/>
    <n v="10"/>
    <x v="2"/>
    <s v="No"/>
    <x v="1"/>
    <s v="Yes"/>
    <n v="20"/>
    <n v="12"/>
    <n v="18"/>
  </r>
  <r>
    <n v="3275"/>
    <x v="44"/>
    <x v="0"/>
    <d v="2024-04-10T00:00:00"/>
    <x v="1"/>
    <n v="5"/>
    <x v="0"/>
    <s v="No"/>
    <x v="1"/>
    <s v="No"/>
    <n v="0"/>
    <n v="2"/>
    <n v="3"/>
  </r>
  <r>
    <n v="3276"/>
    <x v="45"/>
    <x v="2"/>
    <d v="2024-04-11T00:00:00"/>
    <x v="0"/>
    <n v="15"/>
    <x v="1"/>
    <s v="Yes"/>
    <x v="0"/>
    <s v="Yes"/>
    <n v="20"/>
    <n v="5"/>
    <n v="60"/>
  </r>
  <r>
    <n v="3277"/>
    <x v="46"/>
    <x v="1"/>
    <d v="2024-04-12T00:00:00"/>
    <x v="1"/>
    <n v="10"/>
    <x v="0"/>
    <s v="No"/>
    <x v="1"/>
    <s v="Yes"/>
    <n v="20"/>
    <n v="10"/>
    <n v="20"/>
  </r>
  <r>
    <n v="3278"/>
    <x v="47"/>
    <x v="0"/>
    <d v="2024-04-13T00:00:00"/>
    <x v="0"/>
    <n v="5"/>
    <x v="2"/>
    <s v="No"/>
    <x v="1"/>
    <s v="No"/>
    <n v="0"/>
    <n v="0"/>
    <n v="5"/>
  </r>
  <r>
    <n v="3279"/>
    <x v="48"/>
    <x v="1"/>
    <d v="2024-04-14T00:00:00"/>
    <x v="1"/>
    <n v="15"/>
    <x v="0"/>
    <s v="Yes"/>
    <x v="0"/>
    <s v="Yes"/>
    <n v="20"/>
    <n v="3"/>
    <n v="62"/>
  </r>
  <r>
    <n v="3280"/>
    <x v="49"/>
    <x v="1"/>
    <d v="2024-04-15T00:00:00"/>
    <x v="0"/>
    <n v="10"/>
    <x v="1"/>
    <s v="No"/>
    <x v="1"/>
    <s v="Yes"/>
    <n v="20"/>
    <n v="15"/>
    <n v="15"/>
  </r>
  <r>
    <n v="3281"/>
    <x v="50"/>
    <x v="0"/>
    <d v="2024-04-16T00:00:00"/>
    <x v="1"/>
    <n v="5"/>
    <x v="0"/>
    <s v="No"/>
    <x v="1"/>
    <s v="No"/>
    <n v="0"/>
    <n v="1"/>
    <n v="4"/>
  </r>
  <r>
    <n v="3282"/>
    <x v="51"/>
    <x v="1"/>
    <d v="2024-04-17T00:00:00"/>
    <x v="0"/>
    <n v="15"/>
    <x v="2"/>
    <s v="Yes"/>
    <x v="0"/>
    <s v="Yes"/>
    <n v="20"/>
    <n v="7"/>
    <n v="58"/>
  </r>
  <r>
    <n v="3283"/>
    <x v="52"/>
    <x v="1"/>
    <d v="2024-04-18T00:00:00"/>
    <x v="1"/>
    <n v="10"/>
    <x v="0"/>
    <s v="No"/>
    <x v="1"/>
    <s v="Yes"/>
    <n v="20"/>
    <n v="10"/>
    <n v="20"/>
  </r>
  <r>
    <n v="3284"/>
    <x v="53"/>
    <x v="0"/>
    <d v="2024-04-19T00:00:00"/>
    <x v="0"/>
    <n v="5"/>
    <x v="1"/>
    <s v="No"/>
    <x v="1"/>
    <s v="No"/>
    <n v="0"/>
    <n v="0"/>
    <n v="5"/>
  </r>
  <r>
    <n v="3285"/>
    <x v="54"/>
    <x v="1"/>
    <d v="2024-04-20T00:00:00"/>
    <x v="1"/>
    <n v="15"/>
    <x v="0"/>
    <s v="Yes"/>
    <x v="0"/>
    <s v="Yes"/>
    <n v="20"/>
    <n v="20"/>
    <n v="45"/>
  </r>
  <r>
    <n v="3286"/>
    <x v="55"/>
    <x v="1"/>
    <d v="2024-04-21T00:00:00"/>
    <x v="0"/>
    <n v="10"/>
    <x v="2"/>
    <s v="No"/>
    <x v="1"/>
    <s v="Yes"/>
    <n v="20"/>
    <n v="15"/>
    <n v="15"/>
  </r>
  <r>
    <n v="3287"/>
    <x v="56"/>
    <x v="0"/>
    <d v="2024-04-22T00:00:00"/>
    <x v="1"/>
    <n v="5"/>
    <x v="0"/>
    <s v="No"/>
    <x v="1"/>
    <s v="No"/>
    <n v="0"/>
    <n v="1"/>
    <n v="4"/>
  </r>
  <r>
    <n v="3288"/>
    <x v="57"/>
    <x v="1"/>
    <d v="2024-04-23T00:00:00"/>
    <x v="0"/>
    <n v="15"/>
    <x v="1"/>
    <s v="Yes"/>
    <x v="0"/>
    <s v="Yes"/>
    <n v="20"/>
    <n v="3"/>
    <n v="62"/>
  </r>
  <r>
    <n v="3289"/>
    <x v="58"/>
    <x v="1"/>
    <d v="2024-04-24T00:00:00"/>
    <x v="1"/>
    <n v="10"/>
    <x v="0"/>
    <s v="No"/>
    <x v="1"/>
    <s v="Yes"/>
    <n v="20"/>
    <n v="10"/>
    <n v="20"/>
  </r>
  <r>
    <n v="3290"/>
    <x v="59"/>
    <x v="0"/>
    <d v="2024-04-25T00:00:00"/>
    <x v="0"/>
    <n v="5"/>
    <x v="2"/>
    <s v="No"/>
    <x v="1"/>
    <s v="No"/>
    <n v="0"/>
    <n v="0"/>
    <n v="5"/>
  </r>
  <r>
    <n v="3291"/>
    <x v="60"/>
    <x v="1"/>
    <d v="2024-04-26T00:00:00"/>
    <x v="1"/>
    <n v="15"/>
    <x v="0"/>
    <s v="Yes"/>
    <x v="0"/>
    <s v="Yes"/>
    <n v="20"/>
    <n v="5"/>
    <n v="60"/>
  </r>
  <r>
    <n v="3292"/>
    <x v="61"/>
    <x v="1"/>
    <d v="2024-04-27T00:00:00"/>
    <x v="0"/>
    <n v="10"/>
    <x v="1"/>
    <s v="No"/>
    <x v="1"/>
    <s v="Yes"/>
    <n v="20"/>
    <n v="15"/>
    <n v="15"/>
  </r>
  <r>
    <n v="3293"/>
    <x v="62"/>
    <x v="0"/>
    <d v="2024-04-28T00:00:00"/>
    <x v="1"/>
    <n v="5"/>
    <x v="0"/>
    <s v="No"/>
    <x v="1"/>
    <s v="No"/>
    <n v="0"/>
    <n v="1"/>
    <n v="4"/>
  </r>
  <r>
    <n v="3294"/>
    <x v="63"/>
    <x v="2"/>
    <d v="2024-04-29T00:00:00"/>
    <x v="0"/>
    <n v="15"/>
    <x v="2"/>
    <s v="Yes"/>
    <x v="0"/>
    <s v="Yes"/>
    <n v="20"/>
    <n v="20"/>
    <n v="45"/>
  </r>
  <r>
    <n v="3295"/>
    <x v="64"/>
    <x v="1"/>
    <d v="2024-04-30T00:00:00"/>
    <x v="1"/>
    <n v="10"/>
    <x v="0"/>
    <s v="No"/>
    <x v="1"/>
    <s v="Yes"/>
    <n v="20"/>
    <n v="5"/>
    <n v="25"/>
  </r>
  <r>
    <n v="3296"/>
    <x v="65"/>
    <x v="0"/>
    <d v="2024-05-01T00:00:00"/>
    <x v="1"/>
    <n v="5"/>
    <x v="0"/>
    <s v="No"/>
    <x v="1"/>
    <s v="No"/>
    <n v="0"/>
    <n v="0"/>
    <n v="5"/>
  </r>
  <r>
    <n v="3297"/>
    <x v="66"/>
    <x v="2"/>
    <d v="2024-05-02T00:00:00"/>
    <x v="0"/>
    <n v="15"/>
    <x v="2"/>
    <s v="Yes"/>
    <x v="0"/>
    <s v="Yes"/>
    <n v="20"/>
    <n v="7"/>
    <n v="58"/>
  </r>
  <r>
    <n v="3298"/>
    <x v="67"/>
    <x v="1"/>
    <d v="2024-05-03T00:00:00"/>
    <x v="1"/>
    <n v="10"/>
    <x v="1"/>
    <s v="No"/>
    <x v="1"/>
    <s v="Yes"/>
    <n v="20"/>
    <n v="10"/>
    <n v="20"/>
  </r>
  <r>
    <n v="3299"/>
    <x v="68"/>
    <x v="0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1"/>
    <d v="2024-05-06T00:00:00"/>
    <x v="0"/>
    <n v="10"/>
    <x v="0"/>
    <s v="No"/>
    <x v="1"/>
    <s v="Yes"/>
    <n v="20"/>
    <n v="5"/>
    <n v="25"/>
  </r>
  <r>
    <n v="3302"/>
    <x v="71"/>
    <x v="0"/>
    <d v="2024-05-07T00:00:00"/>
    <x v="1"/>
    <n v="5"/>
    <x v="1"/>
    <s v="No"/>
    <x v="1"/>
    <s v="No"/>
    <n v="0"/>
    <n v="0"/>
    <n v="5"/>
  </r>
  <r>
    <n v="3303"/>
    <x v="72"/>
    <x v="1"/>
    <d v="2024-05-08T00:00:00"/>
    <x v="0"/>
    <n v="15"/>
    <x v="2"/>
    <s v="Yes"/>
    <x v="0"/>
    <s v="Yes"/>
    <n v="20"/>
    <n v="20"/>
    <n v="45"/>
  </r>
  <r>
    <n v="3304"/>
    <x v="73"/>
    <x v="1"/>
    <d v="2024-05-09T00:00:00"/>
    <x v="1"/>
    <n v="10"/>
    <x v="2"/>
    <s v="No"/>
    <x v="1"/>
    <s v="Yes"/>
    <n v="20"/>
    <n v="12"/>
    <n v="18"/>
  </r>
  <r>
    <n v="3305"/>
    <x v="74"/>
    <x v="0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1"/>
    <d v="2024-05-12T00:00:00"/>
    <x v="0"/>
    <n v="10"/>
    <x v="0"/>
    <s v="No"/>
    <x v="1"/>
    <s v="Yes"/>
    <n v="20"/>
    <n v="10"/>
    <n v="20"/>
  </r>
  <r>
    <n v="3308"/>
    <x v="77"/>
    <x v="0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1"/>
    <d v="2024-05-15T00:00:00"/>
    <x v="1"/>
    <n v="10"/>
    <x v="1"/>
    <s v="No"/>
    <x v="1"/>
    <s v="Yes"/>
    <n v="20"/>
    <n v="15"/>
    <n v="15"/>
  </r>
  <r>
    <n v="3311"/>
    <x v="80"/>
    <x v="0"/>
    <d v="2024-05-16T00:00:00"/>
    <x v="0"/>
    <n v="5"/>
    <x v="0"/>
    <s v="No"/>
    <x v="1"/>
    <s v="No"/>
    <n v="0"/>
    <n v="1"/>
    <n v="4"/>
  </r>
  <r>
    <n v="3312"/>
    <x v="81"/>
    <x v="2"/>
    <d v="2024-05-17T00:00:00"/>
    <x v="1"/>
    <n v="15"/>
    <x v="2"/>
    <s v="Yes"/>
    <x v="0"/>
    <s v="Yes"/>
    <n v="20"/>
    <n v="7"/>
    <n v="58"/>
  </r>
  <r>
    <n v="3313"/>
    <x v="82"/>
    <x v="1"/>
    <d v="2024-05-18T00:00:00"/>
    <x v="0"/>
    <n v="10"/>
    <x v="0"/>
    <s v="No"/>
    <x v="1"/>
    <s v="Yes"/>
    <n v="20"/>
    <n v="10"/>
    <n v="20"/>
  </r>
  <r>
    <n v="3314"/>
    <x v="83"/>
    <x v="0"/>
    <d v="2024-05-19T00:00:00"/>
    <x v="1"/>
    <n v="5"/>
    <x v="1"/>
    <s v="No"/>
    <x v="1"/>
    <s v="No"/>
    <n v="0"/>
    <n v="0"/>
    <n v="5"/>
  </r>
  <r>
    <n v="3315"/>
    <x v="84"/>
    <x v="2"/>
    <d v="2024-05-20T00:00:00"/>
    <x v="0"/>
    <n v="15"/>
    <x v="0"/>
    <s v="Yes"/>
    <x v="0"/>
    <s v="Yes"/>
    <n v="20"/>
    <n v="20"/>
    <n v="45"/>
  </r>
  <r>
    <n v="3316"/>
    <x v="85"/>
    <x v="1"/>
    <d v="2024-05-21T00:00:00"/>
    <x v="1"/>
    <n v="10"/>
    <x v="2"/>
    <s v="No"/>
    <x v="1"/>
    <s v="Yes"/>
    <n v="20"/>
    <n v="15"/>
    <n v="15"/>
  </r>
  <r>
    <n v="3317"/>
    <x v="86"/>
    <x v="0"/>
    <d v="2024-05-22T00:00:00"/>
    <x v="0"/>
    <n v="5"/>
    <x v="0"/>
    <s v="No"/>
    <x v="1"/>
    <s v="No"/>
    <n v="0"/>
    <n v="1"/>
    <n v="4"/>
  </r>
  <r>
    <n v="3318"/>
    <x v="87"/>
    <x v="2"/>
    <d v="2024-05-23T00:00:00"/>
    <x v="1"/>
    <n v="15"/>
    <x v="1"/>
    <s v="Yes"/>
    <x v="0"/>
    <s v="Yes"/>
    <n v="20"/>
    <n v="3"/>
    <n v="62"/>
  </r>
  <r>
    <n v="3319"/>
    <x v="88"/>
    <x v="1"/>
    <d v="2024-05-24T00:00:00"/>
    <x v="0"/>
    <n v="10"/>
    <x v="0"/>
    <s v="No"/>
    <x v="1"/>
    <s v="Yes"/>
    <n v="20"/>
    <n v="10"/>
    <n v="20"/>
  </r>
  <r>
    <n v="3320"/>
    <x v="89"/>
    <x v="0"/>
    <d v="2024-05-25T00:00:00"/>
    <x v="1"/>
    <n v="5"/>
    <x v="2"/>
    <s v="No"/>
    <x v="1"/>
    <s v="No"/>
    <n v="0"/>
    <n v="0"/>
    <n v="5"/>
  </r>
  <r>
    <n v="3321"/>
    <x v="90"/>
    <x v="1"/>
    <d v="2024-05-26T00:00:00"/>
    <x v="0"/>
    <n v="15"/>
    <x v="0"/>
    <s v="Yes"/>
    <x v="0"/>
    <s v="Yes"/>
    <n v="20"/>
    <n v="5"/>
    <n v="60"/>
  </r>
  <r>
    <n v="3322"/>
    <x v="91"/>
    <x v="1"/>
    <d v="2024-05-27T00:00:00"/>
    <x v="1"/>
    <n v="10"/>
    <x v="1"/>
    <s v="No"/>
    <x v="1"/>
    <s v="Yes"/>
    <n v="20"/>
    <n v="15"/>
    <n v="15"/>
  </r>
  <r>
    <n v="3323"/>
    <x v="92"/>
    <x v="0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1"/>
    <d v="2024-05-30T00:00:00"/>
    <x v="0"/>
    <n v="10"/>
    <x v="2"/>
    <s v="No"/>
    <x v="1"/>
    <s v="Yes"/>
    <n v="20"/>
    <n v="15"/>
    <n v="15"/>
  </r>
  <r>
    <n v="3326"/>
    <x v="95"/>
    <x v="0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1"/>
    <d v="2024-06-02T00:00:00"/>
    <x v="1"/>
    <n v="10"/>
    <x v="1"/>
    <s v="No"/>
    <x v="1"/>
    <s v="Yes"/>
    <n v="20"/>
    <n v="10"/>
    <n v="20"/>
  </r>
  <r>
    <n v="3329"/>
    <x v="98"/>
    <x v="0"/>
    <d v="2024-06-03T00:00:00"/>
    <x v="0"/>
    <n v="5"/>
    <x v="2"/>
    <s v="No"/>
    <x v="1"/>
    <s v="No"/>
    <n v="0"/>
    <n v="1"/>
    <n v="4"/>
  </r>
  <r>
    <n v="3330"/>
    <x v="99"/>
    <x v="2"/>
    <d v="2024-06-04T00:00:00"/>
    <x v="1"/>
    <n v="15"/>
    <x v="0"/>
    <s v="Yes"/>
    <x v="0"/>
    <s v="Yes"/>
    <n v="20"/>
    <n v="15"/>
    <n v="50"/>
  </r>
  <r>
    <n v="3331"/>
    <x v="100"/>
    <x v="1"/>
    <d v="2024-06-05T00:00:00"/>
    <x v="0"/>
    <n v="10"/>
    <x v="0"/>
    <s v="No"/>
    <x v="1"/>
    <s v="Yes"/>
    <n v="20"/>
    <n v="5"/>
    <n v="25"/>
  </r>
  <r>
    <n v="3332"/>
    <x v="101"/>
    <x v="0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1"/>
    <d v="2024-06-08T00:00:00"/>
    <x v="1"/>
    <n v="10"/>
    <x v="2"/>
    <s v="No"/>
    <x v="1"/>
    <s v="Yes"/>
    <n v="20"/>
    <n v="12"/>
    <n v="18"/>
  </r>
  <r>
    <n v="3335"/>
    <x v="104"/>
    <x v="0"/>
    <d v="2024-06-09T00:00:00"/>
    <x v="0"/>
    <n v="5"/>
    <x v="0"/>
    <s v="No"/>
    <x v="1"/>
    <s v="No"/>
    <n v="0"/>
    <n v="2"/>
    <n v="3"/>
  </r>
  <r>
    <n v="3336"/>
    <x v="105"/>
    <x v="0"/>
    <d v="2024-06-10T00:00:00"/>
    <x v="0"/>
    <n v="5"/>
    <x v="0"/>
    <s v="No"/>
    <x v="1"/>
    <s v="No"/>
    <n v="0"/>
    <n v="0"/>
    <n v="5"/>
  </r>
  <r>
    <n v="3337"/>
    <x v="106"/>
    <x v="1"/>
    <d v="2024-06-11T00:00:00"/>
    <x v="1"/>
    <n v="15"/>
    <x v="2"/>
    <s v="Yes"/>
    <x v="0"/>
    <s v="Yes"/>
    <n v="20"/>
    <n v="7"/>
    <n v="58"/>
  </r>
  <r>
    <n v="3338"/>
    <x v="107"/>
    <x v="1"/>
    <d v="2024-06-12T00:00:00"/>
    <x v="0"/>
    <n v="10"/>
    <x v="1"/>
    <s v="No"/>
    <x v="1"/>
    <s v="Yes"/>
    <n v="20"/>
    <n v="10"/>
    <n v="20"/>
  </r>
  <r>
    <n v="3339"/>
    <x v="108"/>
    <x v="0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1"/>
    <d v="2024-06-15T00:00:00"/>
    <x v="1"/>
    <n v="10"/>
    <x v="0"/>
    <s v="No"/>
    <x v="1"/>
    <s v="Yes"/>
    <n v="20"/>
    <n v="5"/>
    <n v="25"/>
  </r>
  <r>
    <n v="3342"/>
    <x v="111"/>
    <x v="0"/>
    <d v="2024-06-16T00:00:00"/>
    <x v="0"/>
    <n v="5"/>
    <x v="1"/>
    <s v="No"/>
    <x v="1"/>
    <s v="No"/>
    <n v="0"/>
    <n v="0"/>
    <n v="5"/>
  </r>
  <r>
    <n v="3343"/>
    <x v="112"/>
    <x v="1"/>
    <d v="2024-06-17T00:00:00"/>
    <x v="1"/>
    <n v="15"/>
    <x v="2"/>
    <s v="Yes"/>
    <x v="0"/>
    <s v="Yes"/>
    <n v="20"/>
    <n v="20"/>
    <n v="45"/>
  </r>
  <r>
    <n v="3344"/>
    <x v="113"/>
    <x v="1"/>
    <d v="2024-06-18T00:00:00"/>
    <x v="0"/>
    <n v="10"/>
    <x v="2"/>
    <s v="No"/>
    <x v="1"/>
    <s v="Yes"/>
    <n v="20"/>
    <n v="12"/>
    <n v="18"/>
  </r>
  <r>
    <n v="3345"/>
    <x v="114"/>
    <x v="0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1"/>
    <d v="2024-06-21T00:00:00"/>
    <x v="1"/>
    <n v="10"/>
    <x v="0"/>
    <s v="No"/>
    <x v="1"/>
    <s v="Yes"/>
    <n v="20"/>
    <n v="10"/>
    <n v="20"/>
  </r>
  <r>
    <n v="3348"/>
    <x v="117"/>
    <x v="0"/>
    <d v="2024-06-22T00:00:00"/>
    <x v="0"/>
    <n v="5"/>
    <x v="2"/>
    <s v="No"/>
    <x v="1"/>
    <s v="No"/>
    <n v="0"/>
    <n v="0"/>
    <n v="5"/>
  </r>
  <r>
    <n v="3349"/>
    <x v="93"/>
    <x v="1"/>
    <d v="2024-06-23T00:00:00"/>
    <x v="1"/>
    <n v="15"/>
    <x v="0"/>
    <s v="Yes"/>
    <x v="0"/>
    <s v="Yes"/>
    <n v="20"/>
    <n v="3"/>
    <n v="62"/>
  </r>
  <r>
    <n v="3350"/>
    <x v="118"/>
    <x v="1"/>
    <d v="2024-06-24T00:00:00"/>
    <x v="0"/>
    <n v="10"/>
    <x v="1"/>
    <s v="No"/>
    <x v="1"/>
    <s v="Yes"/>
    <n v="20"/>
    <n v="15"/>
    <n v="15"/>
  </r>
  <r>
    <n v="3351"/>
    <x v="119"/>
    <x v="0"/>
    <d v="2024-06-25T00:00:00"/>
    <x v="1"/>
    <n v="5"/>
    <x v="0"/>
    <s v="No"/>
    <x v="1"/>
    <s v="No"/>
    <n v="0"/>
    <n v="1"/>
    <n v="4"/>
  </r>
  <r>
    <n v="3352"/>
    <x v="120"/>
    <x v="1"/>
    <d v="2024-06-26T00:00:00"/>
    <x v="0"/>
    <n v="15"/>
    <x v="2"/>
    <s v="Yes"/>
    <x v="0"/>
    <s v="Yes"/>
    <n v="20"/>
    <n v="7"/>
    <n v="58"/>
  </r>
  <r>
    <n v="3353"/>
    <x v="121"/>
    <x v="1"/>
    <d v="2024-06-27T00:00:00"/>
    <x v="1"/>
    <n v="10"/>
    <x v="0"/>
    <s v="No"/>
    <x v="1"/>
    <s v="Yes"/>
    <n v="20"/>
    <n v="10"/>
    <n v="20"/>
  </r>
  <r>
    <n v="3354"/>
    <x v="122"/>
    <x v="0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1"/>
    <d v="2024-06-30T00:00:00"/>
    <x v="0"/>
    <n v="10"/>
    <x v="2"/>
    <s v="No"/>
    <x v="1"/>
    <s v="Yes"/>
    <n v="20"/>
    <n v="15"/>
    <n v="15"/>
  </r>
  <r>
    <n v="3357"/>
    <x v="125"/>
    <x v="0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1"/>
    <d v="2024-07-03T00:00:00"/>
    <x v="1"/>
    <n v="10"/>
    <x v="0"/>
    <s v="No"/>
    <x v="1"/>
    <s v="Yes"/>
    <n v="20"/>
    <n v="10"/>
    <n v="20"/>
  </r>
  <r>
    <n v="3360"/>
    <x v="128"/>
    <x v="0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1"/>
    <d v="2024-07-06T00:00:00"/>
    <x v="0"/>
    <n v="10"/>
    <x v="1"/>
    <s v="No"/>
    <x v="1"/>
    <s v="Yes"/>
    <n v="20"/>
    <n v="15"/>
    <n v="15"/>
  </r>
  <r>
    <n v="3363"/>
    <x v="131"/>
    <x v="0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1"/>
    <d v="2024-07-09T00:00:00"/>
    <x v="1"/>
    <n v="10"/>
    <x v="0"/>
    <s v="No"/>
    <x v="1"/>
    <s v="Yes"/>
    <n v="20"/>
    <n v="10"/>
    <n v="20"/>
  </r>
  <r>
    <n v="3366"/>
    <x v="134"/>
    <x v="0"/>
    <d v="2024-07-10T00:00:00"/>
    <x v="0"/>
    <n v="5"/>
    <x v="0"/>
    <s v="No"/>
    <x v="1"/>
    <s v="No"/>
    <n v="0"/>
    <n v="0"/>
    <n v="5"/>
  </r>
  <r>
    <n v="3367"/>
    <x v="135"/>
    <x v="2"/>
    <d v="2024-07-11T00:00:00"/>
    <x v="1"/>
    <n v="15"/>
    <x v="2"/>
    <s v="Yes"/>
    <x v="0"/>
    <s v="Yes"/>
    <n v="20"/>
    <n v="7"/>
    <n v="58"/>
  </r>
  <r>
    <n v="3368"/>
    <x v="136"/>
    <x v="1"/>
    <d v="2024-07-12T00:00:00"/>
    <x v="0"/>
    <n v="10"/>
    <x v="1"/>
    <s v="No"/>
    <x v="1"/>
    <s v="Yes"/>
    <n v="20"/>
    <n v="10"/>
    <n v="20"/>
  </r>
  <r>
    <n v="3369"/>
    <x v="137"/>
    <x v="0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1"/>
    <d v="2024-07-15T00:00:00"/>
    <x v="1"/>
    <n v="10"/>
    <x v="0"/>
    <s v="No"/>
    <x v="1"/>
    <s v="Yes"/>
    <n v="20"/>
    <n v="5"/>
    <n v="25"/>
  </r>
  <r>
    <n v="3372"/>
    <x v="140"/>
    <x v="0"/>
    <d v="2024-07-16T00:00:00"/>
    <x v="0"/>
    <n v="5"/>
    <x v="1"/>
    <s v="No"/>
    <x v="1"/>
    <s v="No"/>
    <n v="0"/>
    <n v="0"/>
    <n v="5"/>
  </r>
  <r>
    <n v="3373"/>
    <x v="141"/>
    <x v="2"/>
    <d v="2024-07-17T00:00:00"/>
    <x v="1"/>
    <n v="15"/>
    <x v="2"/>
    <s v="Yes"/>
    <x v="0"/>
    <s v="Yes"/>
    <n v="20"/>
    <n v="20"/>
    <n v="45"/>
  </r>
  <r>
    <n v="3374"/>
    <x v="142"/>
    <x v="1"/>
    <d v="2024-07-18T00:00:00"/>
    <x v="0"/>
    <n v="10"/>
    <x v="2"/>
    <s v="No"/>
    <x v="1"/>
    <s v="Yes"/>
    <n v="20"/>
    <n v="12"/>
    <n v="18"/>
  </r>
  <r>
    <n v="3375"/>
    <x v="143"/>
    <x v="0"/>
    <d v="2024-07-19T00:00:00"/>
    <x v="1"/>
    <n v="5"/>
    <x v="0"/>
    <s v="No"/>
    <x v="1"/>
    <s v="No"/>
    <n v="0"/>
    <n v="2"/>
    <n v="3"/>
  </r>
  <r>
    <n v="3376"/>
    <x v="144"/>
    <x v="2"/>
    <d v="2024-07-20T00:00:00"/>
    <x v="0"/>
    <n v="15"/>
    <x v="1"/>
    <s v="Yes"/>
    <x v="0"/>
    <s v="Yes"/>
    <n v="20"/>
    <n v="5"/>
    <n v="60"/>
  </r>
  <r>
    <n v="3377"/>
    <x v="145"/>
    <x v="1"/>
    <d v="2024-07-21T00:00:00"/>
    <x v="1"/>
    <n v="10"/>
    <x v="0"/>
    <s v="No"/>
    <x v="1"/>
    <s v="Yes"/>
    <n v="20"/>
    <n v="10"/>
    <n v="20"/>
  </r>
  <r>
    <n v="3378"/>
    <x v="146"/>
    <x v="0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1"/>
    <d v="2024-07-24T00:00:00"/>
    <x v="0"/>
    <n v="10"/>
    <x v="1"/>
    <s v="No"/>
    <x v="1"/>
    <s v="Yes"/>
    <n v="20"/>
    <n v="15"/>
    <n v="15"/>
  </r>
  <r>
    <n v="3381"/>
    <x v="149"/>
    <x v="0"/>
    <d v="2024-07-25T00:00:00"/>
    <x v="1"/>
    <n v="5"/>
    <x v="0"/>
    <s v="No"/>
    <x v="1"/>
    <s v="No"/>
    <n v="0"/>
    <n v="1"/>
    <n v="4"/>
  </r>
  <r>
    <n v="3382"/>
    <x v="150"/>
    <x v="2"/>
    <d v="2024-07-26T00:00:00"/>
    <x v="0"/>
    <n v="15"/>
    <x v="2"/>
    <s v="Yes"/>
    <x v="0"/>
    <s v="Yes"/>
    <n v="20"/>
    <n v="7"/>
    <n v="58"/>
  </r>
  <r>
    <n v="3383"/>
    <x v="151"/>
    <x v="1"/>
    <d v="2024-07-27T00:00:00"/>
    <x v="1"/>
    <n v="10"/>
    <x v="0"/>
    <s v="No"/>
    <x v="1"/>
    <s v="Yes"/>
    <n v="20"/>
    <n v="10"/>
    <n v="20"/>
  </r>
  <r>
    <n v="3384"/>
    <x v="152"/>
    <x v="0"/>
    <d v="2024-07-28T00:00:00"/>
    <x v="0"/>
    <n v="5"/>
    <x v="1"/>
    <s v="No"/>
    <x v="1"/>
    <s v="No"/>
    <n v="0"/>
    <n v="0"/>
    <n v="5"/>
  </r>
  <r>
    <n v="3385"/>
    <x v="153"/>
    <x v="1"/>
    <d v="2024-07-29T00:00:00"/>
    <x v="1"/>
    <n v="15"/>
    <x v="0"/>
    <s v="Yes"/>
    <x v="0"/>
    <s v="Yes"/>
    <n v="20"/>
    <n v="20"/>
    <n v="45"/>
  </r>
  <r>
    <n v="3386"/>
    <x v="154"/>
    <x v="1"/>
    <d v="2024-07-30T00:00:00"/>
    <x v="0"/>
    <n v="10"/>
    <x v="2"/>
    <s v="No"/>
    <x v="1"/>
    <s v="Yes"/>
    <n v="20"/>
    <n v="15"/>
    <n v="15"/>
  </r>
  <r>
    <n v="3387"/>
    <x v="155"/>
    <x v="0"/>
    <d v="2024-07-31T00:00:00"/>
    <x v="1"/>
    <n v="5"/>
    <x v="0"/>
    <s v="No"/>
    <x v="1"/>
    <s v="No"/>
    <n v="0"/>
    <n v="1"/>
    <n v="4"/>
  </r>
  <r>
    <n v="3388"/>
    <x v="156"/>
    <x v="1"/>
    <d v="2024-08-01T00:00:00"/>
    <x v="0"/>
    <n v="15"/>
    <x v="1"/>
    <s v="Yes"/>
    <x v="0"/>
    <s v="Yes"/>
    <n v="20"/>
    <n v="3"/>
    <n v="62"/>
  </r>
  <r>
    <n v="3389"/>
    <x v="157"/>
    <x v="1"/>
    <d v="2024-08-02T00:00:00"/>
    <x v="1"/>
    <n v="10"/>
    <x v="0"/>
    <s v="No"/>
    <x v="1"/>
    <s v="Yes"/>
    <n v="20"/>
    <n v="10"/>
    <n v="20"/>
  </r>
  <r>
    <n v="3390"/>
    <x v="158"/>
    <x v="0"/>
    <d v="2024-08-03T00:00:00"/>
    <x v="0"/>
    <n v="5"/>
    <x v="2"/>
    <s v="No"/>
    <x v="1"/>
    <s v="No"/>
    <n v="0"/>
    <n v="0"/>
    <n v="5"/>
  </r>
  <r>
    <n v="3391"/>
    <x v="58"/>
    <x v="1"/>
    <d v="2024-08-04T00:00:00"/>
    <x v="1"/>
    <n v="15"/>
    <x v="0"/>
    <s v="Yes"/>
    <x v="0"/>
    <s v="Yes"/>
    <n v="20"/>
    <n v="15"/>
    <n v="50"/>
  </r>
  <r>
    <n v="3392"/>
    <x v="159"/>
    <x v="1"/>
    <d v="2024-08-05T00:00:00"/>
    <x v="0"/>
    <n v="10"/>
    <x v="1"/>
    <s v="No"/>
    <x v="1"/>
    <s v="Yes"/>
    <n v="20"/>
    <n v="15"/>
    <n v="15"/>
  </r>
  <r>
    <n v="3393"/>
    <x v="160"/>
    <x v="0"/>
    <d v="2024-08-06T00:00:00"/>
    <x v="1"/>
    <n v="5"/>
    <x v="0"/>
    <s v="No"/>
    <x v="1"/>
    <s v="No"/>
    <n v="0"/>
    <n v="1"/>
    <n v="4"/>
  </r>
  <r>
    <n v="3394"/>
    <x v="161"/>
    <x v="2"/>
    <d v="2024-08-07T00:00:00"/>
    <x v="0"/>
    <n v="15"/>
    <x v="2"/>
    <s v="Yes"/>
    <x v="0"/>
    <s v="Yes"/>
    <n v="20"/>
    <n v="7"/>
    <n v="58"/>
  </r>
  <r>
    <n v="3395"/>
    <x v="162"/>
    <x v="1"/>
    <d v="2024-08-08T00:00:00"/>
    <x v="1"/>
    <n v="10"/>
    <x v="0"/>
    <s v="No"/>
    <x v="1"/>
    <s v="Yes"/>
    <n v="20"/>
    <n v="10"/>
    <n v="20"/>
  </r>
  <r>
    <n v="3396"/>
    <x v="163"/>
    <x v="0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1"/>
    <d v="2024-08-11T00:00:00"/>
    <x v="0"/>
    <n v="10"/>
    <x v="2"/>
    <s v="No"/>
    <x v="1"/>
    <s v="Yes"/>
    <n v="20"/>
    <n v="15"/>
    <n v="15"/>
  </r>
  <r>
    <n v="3399"/>
    <x v="165"/>
    <x v="0"/>
    <d v="2024-08-12T00:00:00"/>
    <x v="1"/>
    <n v="5"/>
    <x v="0"/>
    <s v="No"/>
    <x v="1"/>
    <s v="No"/>
    <n v="0"/>
    <n v="1"/>
    <n v="4"/>
  </r>
  <r>
    <n v="3400"/>
    <x v="166"/>
    <x v="2"/>
    <d v="2024-08-13T00:00:00"/>
    <x v="0"/>
    <n v="15"/>
    <x v="1"/>
    <s v="Yes"/>
    <x v="0"/>
    <s v="Yes"/>
    <n v="20"/>
    <n v="5"/>
    <n v="60"/>
  </r>
  <r>
    <n v="3401"/>
    <x v="167"/>
    <x v="1"/>
    <d v="2024-08-14T00:00:00"/>
    <x v="1"/>
    <n v="10"/>
    <x v="0"/>
    <s v="No"/>
    <x v="1"/>
    <s v="Yes"/>
    <n v="20"/>
    <n v="10"/>
    <n v="20"/>
  </r>
  <r>
    <n v="3402"/>
    <x v="168"/>
    <x v="0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1"/>
    <d v="2024-08-17T00:00:00"/>
    <x v="0"/>
    <n v="10"/>
    <x v="1"/>
    <s v="No"/>
    <x v="1"/>
    <s v="Yes"/>
    <n v="20"/>
    <n v="15"/>
    <n v="15"/>
  </r>
  <r>
    <n v="3405"/>
    <x v="171"/>
    <x v="0"/>
    <d v="2024-08-18T00:00:00"/>
    <x v="1"/>
    <n v="5"/>
    <x v="0"/>
    <s v="No"/>
    <x v="1"/>
    <s v="No"/>
    <n v="0"/>
    <n v="1"/>
    <n v="4"/>
  </r>
  <r>
    <n v="3406"/>
    <x v="172"/>
    <x v="0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1"/>
    <d v="2024-08-21T00:00:00"/>
    <x v="0"/>
    <n v="10"/>
    <x v="1"/>
    <s v="No"/>
    <x v="1"/>
    <s v="Yes"/>
    <n v="20"/>
    <n v="10"/>
    <n v="20"/>
  </r>
  <r>
    <n v="3409"/>
    <x v="175"/>
    <x v="0"/>
    <d v="2024-08-22T00:00:00"/>
    <x v="1"/>
    <n v="5"/>
    <x v="2"/>
    <s v="No"/>
    <x v="1"/>
    <s v="No"/>
    <n v="0"/>
    <n v="1"/>
    <n v="4"/>
  </r>
  <r>
    <n v="3410"/>
    <x v="176"/>
    <x v="1"/>
    <d v="2024-08-23T00:00:00"/>
    <x v="0"/>
    <n v="15"/>
    <x v="0"/>
    <s v="Yes"/>
    <x v="0"/>
    <s v="Yes"/>
    <n v="20"/>
    <n v="15"/>
    <n v="50"/>
  </r>
  <r>
    <n v="3411"/>
    <x v="177"/>
    <x v="1"/>
    <d v="2024-08-24T00:00:00"/>
    <x v="1"/>
    <n v="10"/>
    <x v="0"/>
    <s v="No"/>
    <x v="1"/>
    <s v="Yes"/>
    <n v="20"/>
    <n v="5"/>
    <n v="25"/>
  </r>
  <r>
    <n v="3412"/>
    <x v="178"/>
    <x v="0"/>
    <d v="2024-08-25T00:00:00"/>
    <x v="0"/>
    <n v="5"/>
    <x v="1"/>
    <s v="No"/>
    <x v="1"/>
    <s v="No"/>
    <n v="0"/>
    <n v="0"/>
    <n v="5"/>
  </r>
  <r>
    <n v="3413"/>
    <x v="179"/>
    <x v="2"/>
    <d v="2024-08-26T00:00:00"/>
    <x v="1"/>
    <n v="15"/>
    <x v="2"/>
    <s v="Yes"/>
    <x v="0"/>
    <s v="Yes"/>
    <n v="20"/>
    <n v="20"/>
    <n v="45"/>
  </r>
  <r>
    <n v="3414"/>
    <x v="180"/>
    <x v="1"/>
    <d v="2024-08-27T00:00:00"/>
    <x v="0"/>
    <n v="10"/>
    <x v="2"/>
    <s v="No"/>
    <x v="1"/>
    <s v="Yes"/>
    <n v="20"/>
    <n v="12"/>
    <n v="18"/>
  </r>
  <r>
    <n v="3415"/>
    <x v="181"/>
    <x v="0"/>
    <d v="2024-08-28T00:00:00"/>
    <x v="1"/>
    <n v="5"/>
    <x v="0"/>
    <s v="No"/>
    <x v="1"/>
    <s v="No"/>
    <n v="0"/>
    <n v="2"/>
    <n v="3"/>
  </r>
  <r>
    <n v="3416"/>
    <x v="182"/>
    <x v="2"/>
    <d v="2024-08-29T00:00:00"/>
    <x v="0"/>
    <n v="15"/>
    <x v="1"/>
    <s v="Yes"/>
    <x v="0"/>
    <s v="Yes"/>
    <n v="20"/>
    <n v="5"/>
    <n v="60"/>
  </r>
  <r>
    <n v="3417"/>
    <x v="183"/>
    <x v="1"/>
    <d v="2024-08-30T00:00:00"/>
    <x v="1"/>
    <n v="10"/>
    <x v="0"/>
    <s v="No"/>
    <x v="1"/>
    <s v="Yes"/>
    <n v="20"/>
    <n v="10"/>
    <n v="20"/>
  </r>
  <r>
    <n v="3418"/>
    <x v="184"/>
    <x v="0"/>
    <d v="2024-08-31T00:00:00"/>
    <x v="0"/>
    <n v="5"/>
    <x v="2"/>
    <s v="No"/>
    <x v="1"/>
    <s v="No"/>
    <n v="0"/>
    <n v="0"/>
    <n v="5"/>
  </r>
  <r>
    <n v="3419"/>
    <x v="185"/>
    <x v="1"/>
    <d v="2024-09-01T00:00:00"/>
    <x v="1"/>
    <n v="15"/>
    <x v="0"/>
    <s v="Yes"/>
    <x v="0"/>
    <s v="Yes"/>
    <n v="20"/>
    <n v="3"/>
    <n v="62"/>
  </r>
  <r>
    <n v="3420"/>
    <x v="186"/>
    <x v="1"/>
    <d v="2024-09-02T00:00:00"/>
    <x v="0"/>
    <n v="10"/>
    <x v="1"/>
    <s v="No"/>
    <x v="1"/>
    <s v="Yes"/>
    <n v="20"/>
    <n v="15"/>
    <n v="15"/>
  </r>
  <r>
    <n v="3421"/>
    <x v="15"/>
    <x v="0"/>
    <d v="2024-09-03T00:00:00"/>
    <x v="1"/>
    <n v="5"/>
    <x v="0"/>
    <s v="No"/>
    <x v="1"/>
    <s v="No"/>
    <n v="0"/>
    <n v="1"/>
    <n v="4"/>
  </r>
  <r>
    <n v="3422"/>
    <x v="187"/>
    <x v="2"/>
    <d v="2024-09-04T00:00:00"/>
    <x v="0"/>
    <n v="15"/>
    <x v="2"/>
    <s v="Yes"/>
    <x v="0"/>
    <s v="Yes"/>
    <n v="20"/>
    <n v="7"/>
    <n v="58"/>
  </r>
  <r>
    <n v="3423"/>
    <x v="188"/>
    <x v="1"/>
    <d v="2024-09-05T00:00:00"/>
    <x v="1"/>
    <n v="10"/>
    <x v="0"/>
    <s v="No"/>
    <x v="1"/>
    <s v="Yes"/>
    <n v="20"/>
    <n v="10"/>
    <n v="20"/>
  </r>
  <r>
    <n v="3424"/>
    <x v="14"/>
    <x v="0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1"/>
    <d v="2024-09-08T00:00:00"/>
    <x v="0"/>
    <n v="10"/>
    <x v="2"/>
    <s v="No"/>
    <x v="1"/>
    <s v="Yes"/>
    <n v="20"/>
    <n v="15"/>
    <n v="15"/>
  </r>
  <r>
    <n v="3427"/>
    <x v="190"/>
    <x v="0"/>
    <d v="2024-09-09T00:00:00"/>
    <x v="1"/>
    <n v="5"/>
    <x v="0"/>
    <s v="No"/>
    <x v="1"/>
    <s v="No"/>
    <n v="0"/>
    <n v="1"/>
    <n v="4"/>
  </r>
  <r>
    <n v="3428"/>
    <x v="191"/>
    <x v="2"/>
    <d v="2024-09-10T00:00:00"/>
    <x v="0"/>
    <n v="15"/>
    <x v="1"/>
    <s v="Yes"/>
    <x v="0"/>
    <s v="Yes"/>
    <n v="20"/>
    <n v="3"/>
    <n v="62"/>
  </r>
  <r>
    <n v="3429"/>
    <x v="192"/>
    <x v="1"/>
    <d v="2024-09-11T00:00:00"/>
    <x v="1"/>
    <n v="10"/>
    <x v="0"/>
    <s v="No"/>
    <x v="1"/>
    <s v="Yes"/>
    <n v="20"/>
    <n v="10"/>
    <n v="20"/>
  </r>
  <r>
    <n v="3430"/>
    <x v="193"/>
    <x v="0"/>
    <d v="2024-09-12T00:00:00"/>
    <x v="0"/>
    <n v="5"/>
    <x v="2"/>
    <s v="No"/>
    <x v="1"/>
    <s v="No"/>
    <n v="0"/>
    <n v="0"/>
    <n v="5"/>
  </r>
  <r>
    <n v="3431"/>
    <x v="194"/>
    <x v="1"/>
    <d v="2024-09-13T00:00:00"/>
    <x v="1"/>
    <n v="15"/>
    <x v="0"/>
    <s v="Yes"/>
    <x v="0"/>
    <s v="Yes"/>
    <n v="20"/>
    <n v="15"/>
    <n v="50"/>
  </r>
  <r>
    <n v="3432"/>
    <x v="195"/>
    <x v="1"/>
    <d v="2024-09-14T00:00:00"/>
    <x v="0"/>
    <n v="10"/>
    <x v="1"/>
    <s v="No"/>
    <x v="1"/>
    <s v="Yes"/>
    <n v="20"/>
    <n v="15"/>
    <n v="15"/>
  </r>
  <r>
    <n v="3433"/>
    <x v="196"/>
    <x v="0"/>
    <d v="2024-09-15T00:00:00"/>
    <x v="1"/>
    <n v="5"/>
    <x v="0"/>
    <s v="No"/>
    <x v="1"/>
    <s v="No"/>
    <n v="0"/>
    <n v="1"/>
    <n v="4"/>
  </r>
  <r>
    <n v="3434"/>
    <x v="197"/>
    <x v="1"/>
    <d v="2024-09-16T00:00:00"/>
    <x v="0"/>
    <n v="15"/>
    <x v="2"/>
    <s v="Yes"/>
    <x v="0"/>
    <s v="Yes"/>
    <n v="20"/>
    <n v="7"/>
    <n v="58"/>
  </r>
  <r>
    <n v="3435"/>
    <x v="198"/>
    <x v="1"/>
    <d v="2024-09-17T00:00:00"/>
    <x v="1"/>
    <n v="10"/>
    <x v="0"/>
    <s v="No"/>
    <x v="1"/>
    <s v="Yes"/>
    <n v="20"/>
    <n v="10"/>
    <n v="20"/>
  </r>
  <r>
    <n v="3436"/>
    <x v="199"/>
    <x v="0"/>
    <d v="2024-09-18T00:00:00"/>
    <x v="0"/>
    <n v="5"/>
    <x v="0"/>
    <s v="No"/>
    <x v="1"/>
    <s v="No"/>
    <n v="0"/>
    <n v="0"/>
    <n v="5"/>
  </r>
  <r>
    <n v="3437"/>
    <x v="200"/>
    <x v="1"/>
    <d v="2024-09-19T00:00:00"/>
    <x v="1"/>
    <n v="15"/>
    <x v="2"/>
    <s v="Yes"/>
    <x v="0"/>
    <s v="Yes"/>
    <n v="20"/>
    <n v="7"/>
    <n v="58"/>
  </r>
  <r>
    <n v="3438"/>
    <x v="201"/>
    <x v="1"/>
    <d v="2024-09-20T00:00:00"/>
    <x v="0"/>
    <n v="10"/>
    <x v="1"/>
    <s v="No"/>
    <x v="1"/>
    <s v="Yes"/>
    <n v="20"/>
    <n v="10"/>
    <n v="20"/>
  </r>
  <r>
    <n v="3439"/>
    <x v="202"/>
    <x v="0"/>
    <d v="2024-09-21T00:00:00"/>
    <x v="1"/>
    <n v="5"/>
    <x v="2"/>
    <s v="No"/>
    <x v="1"/>
    <s v="No"/>
    <n v="0"/>
    <n v="1"/>
    <n v="4"/>
  </r>
  <r>
    <n v="3440"/>
    <x v="203"/>
    <x v="1"/>
    <d v="2024-09-22T00:00:00"/>
    <x v="0"/>
    <n v="15"/>
    <x v="0"/>
    <s v="Yes"/>
    <x v="0"/>
    <s v="Yes"/>
    <n v="20"/>
    <n v="15"/>
    <n v="50"/>
  </r>
  <r>
    <n v="3441"/>
    <x v="204"/>
    <x v="1"/>
    <d v="2024-09-23T00:00:00"/>
    <x v="1"/>
    <n v="10"/>
    <x v="0"/>
    <s v="No"/>
    <x v="1"/>
    <s v="Yes"/>
    <n v="20"/>
    <n v="5"/>
    <n v="25"/>
  </r>
  <r>
    <n v="3442"/>
    <x v="205"/>
    <x v="0"/>
    <d v="2024-09-24T00:00:00"/>
    <x v="0"/>
    <n v="5"/>
    <x v="1"/>
    <s v="No"/>
    <x v="1"/>
    <s v="No"/>
    <n v="0"/>
    <n v="0"/>
    <n v="5"/>
  </r>
  <r>
    <n v="3443"/>
    <x v="206"/>
    <x v="1"/>
    <d v="2024-09-25T00:00:00"/>
    <x v="1"/>
    <n v="15"/>
    <x v="2"/>
    <s v="Yes"/>
    <x v="0"/>
    <s v="Yes"/>
    <n v="20"/>
    <n v="20"/>
    <n v="45"/>
  </r>
  <r>
    <n v="3444"/>
    <x v="207"/>
    <x v="1"/>
    <d v="2024-09-26T00:00:00"/>
    <x v="0"/>
    <n v="10"/>
    <x v="2"/>
    <s v="No"/>
    <x v="1"/>
    <s v="Yes"/>
    <n v="20"/>
    <n v="12"/>
    <n v="18"/>
  </r>
  <r>
    <n v="3445"/>
    <x v="37"/>
    <x v="0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1"/>
    <d v="2024-09-29T00:00:00"/>
    <x v="1"/>
    <n v="10"/>
    <x v="0"/>
    <s v="No"/>
    <x v="1"/>
    <s v="Yes"/>
    <n v="20"/>
    <n v="10"/>
    <n v="20"/>
  </r>
  <r>
    <n v="3448"/>
    <x v="210"/>
    <x v="0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1"/>
    <d v="2024-10-02T00:00:00"/>
    <x v="0"/>
    <n v="10"/>
    <x v="1"/>
    <s v="No"/>
    <x v="1"/>
    <s v="Yes"/>
    <n v="20"/>
    <n v="15"/>
    <n v="15"/>
  </r>
  <r>
    <n v="3451"/>
    <x v="213"/>
    <x v="0"/>
    <d v="2024-10-03T00:00:00"/>
    <x v="1"/>
    <n v="5"/>
    <x v="0"/>
    <s v="No"/>
    <x v="1"/>
    <s v="No"/>
    <n v="0"/>
    <n v="1"/>
    <n v="4"/>
  </r>
  <r>
    <n v="3452"/>
    <x v="191"/>
    <x v="2"/>
    <d v="2024-10-04T00:00:00"/>
    <x v="0"/>
    <n v="15"/>
    <x v="2"/>
    <s v="Yes"/>
    <x v="0"/>
    <s v="Yes"/>
    <n v="20"/>
    <n v="7"/>
    <n v="58"/>
  </r>
  <r>
    <n v="3453"/>
    <x v="45"/>
    <x v="1"/>
    <d v="2024-10-05T00:00:00"/>
    <x v="1"/>
    <n v="10"/>
    <x v="0"/>
    <s v="No"/>
    <x v="1"/>
    <s v="Yes"/>
    <n v="20"/>
    <n v="10"/>
    <n v="20"/>
  </r>
  <r>
    <n v="3454"/>
    <x v="214"/>
    <x v="0"/>
    <d v="2024-10-06T00:00:00"/>
    <x v="0"/>
    <n v="5"/>
    <x v="1"/>
    <s v="No"/>
    <x v="1"/>
    <s v="No"/>
    <n v="0"/>
    <n v="0"/>
    <n v="5"/>
  </r>
  <r>
    <n v="3455"/>
    <x v="215"/>
    <x v="2"/>
    <d v="2024-10-07T00:00:00"/>
    <x v="1"/>
    <n v="15"/>
    <x v="0"/>
    <s v="Yes"/>
    <x v="0"/>
    <s v="Yes"/>
    <n v="20"/>
    <n v="20"/>
    <n v="45"/>
  </r>
  <r>
    <n v="3456"/>
    <x v="216"/>
    <x v="1"/>
    <d v="2024-10-08T00:00:00"/>
    <x v="0"/>
    <n v="10"/>
    <x v="2"/>
    <s v="No"/>
    <x v="1"/>
    <s v="Yes"/>
    <n v="20"/>
    <n v="15"/>
    <n v="15"/>
  </r>
  <r>
    <n v="3457"/>
    <x v="217"/>
    <x v="0"/>
    <d v="2024-10-09T00:00:00"/>
    <x v="1"/>
    <n v="5"/>
    <x v="0"/>
    <s v="No"/>
    <x v="1"/>
    <s v="No"/>
    <n v="0"/>
    <n v="1"/>
    <n v="4"/>
  </r>
  <r>
    <n v="3458"/>
    <x v="218"/>
    <x v="2"/>
    <d v="2024-10-10T00:00:00"/>
    <x v="0"/>
    <n v="15"/>
    <x v="1"/>
    <s v="Yes"/>
    <x v="0"/>
    <s v="Yes"/>
    <n v="20"/>
    <n v="3"/>
    <n v="62"/>
  </r>
  <r>
    <n v="3459"/>
    <x v="219"/>
    <x v="1"/>
    <d v="2024-10-11T00:00:00"/>
    <x v="1"/>
    <n v="10"/>
    <x v="0"/>
    <s v="No"/>
    <x v="1"/>
    <s v="Yes"/>
    <n v="20"/>
    <n v="10"/>
    <n v="20"/>
  </r>
  <r>
    <n v="3460"/>
    <x v="127"/>
    <x v="0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1"/>
    <d v="2024-10-14T00:00:00"/>
    <x v="0"/>
    <n v="10"/>
    <x v="1"/>
    <s v="No"/>
    <x v="1"/>
    <s v="Yes"/>
    <n v="20"/>
    <n v="15"/>
    <n v="15"/>
  </r>
  <r>
    <n v="3463"/>
    <x v="222"/>
    <x v="0"/>
    <d v="2024-10-15T00:00:00"/>
    <x v="1"/>
    <n v="5"/>
    <x v="0"/>
    <s v="No"/>
    <x v="1"/>
    <s v="No"/>
    <n v="0"/>
    <n v="1"/>
    <n v="4"/>
  </r>
  <r>
    <n v="3464"/>
    <x v="223"/>
    <x v="1"/>
    <d v="2024-10-16T00:00:00"/>
    <x v="0"/>
    <n v="15"/>
    <x v="2"/>
    <s v="Yes"/>
    <x v="0"/>
    <s v="Yes"/>
    <n v="20"/>
    <n v="7"/>
    <n v="58"/>
  </r>
  <r>
    <n v="3465"/>
    <x v="224"/>
    <x v="1"/>
    <d v="2024-10-17T00:00:00"/>
    <x v="1"/>
    <n v="10"/>
    <x v="0"/>
    <s v="No"/>
    <x v="1"/>
    <s v="Yes"/>
    <n v="20"/>
    <n v="10"/>
    <n v="20"/>
  </r>
  <r>
    <n v="3466"/>
    <x v="225"/>
    <x v="0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1"/>
    <d v="2024-10-20T00:00:00"/>
    <x v="0"/>
    <n v="10"/>
    <x v="2"/>
    <s v="No"/>
    <x v="1"/>
    <s v="Yes"/>
    <n v="20"/>
    <n v="12"/>
    <n v="18"/>
  </r>
  <r>
    <n v="3469"/>
    <x v="228"/>
    <x v="0"/>
    <d v="2024-10-21T00:00:00"/>
    <x v="1"/>
    <n v="5"/>
    <x v="0"/>
    <s v="No"/>
    <x v="1"/>
    <s v="No"/>
    <n v="0"/>
    <n v="2"/>
    <n v="3"/>
  </r>
  <r>
    <n v="3470"/>
    <x v="229"/>
    <x v="1"/>
    <d v="2024-10-22T00:00:00"/>
    <x v="0"/>
    <n v="15"/>
    <x v="1"/>
    <s v="Yes"/>
    <x v="0"/>
    <s v="Yes"/>
    <n v="20"/>
    <n v="5"/>
    <n v="60"/>
  </r>
  <r>
    <n v="3471"/>
    <x v="230"/>
    <x v="1"/>
    <d v="2024-10-23T00:00:00"/>
    <x v="1"/>
    <n v="10"/>
    <x v="0"/>
    <s v="No"/>
    <x v="1"/>
    <s v="Yes"/>
    <n v="20"/>
    <n v="10"/>
    <n v="20"/>
  </r>
  <r>
    <n v="3472"/>
    <x v="231"/>
    <x v="0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1"/>
    <d v="2024-10-26T00:00:00"/>
    <x v="0"/>
    <n v="10"/>
    <x v="1"/>
    <s v="No"/>
    <x v="1"/>
    <s v="Yes"/>
    <n v="20"/>
    <n v="15"/>
    <n v="15"/>
  </r>
  <r>
    <n v="3475"/>
    <x v="233"/>
    <x v="0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1"/>
    <d v="2024-10-29T00:00:00"/>
    <x v="1"/>
    <n v="10"/>
    <x v="0"/>
    <s v="No"/>
    <x v="1"/>
    <s v="Yes"/>
    <n v="20"/>
    <n v="10"/>
    <n v="20"/>
  </r>
  <r>
    <n v="3478"/>
    <x v="236"/>
    <x v="0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1"/>
    <d v="2024-11-01T00:00:00"/>
    <x v="0"/>
    <n v="10"/>
    <x v="2"/>
    <s v="No"/>
    <x v="1"/>
    <s v="Yes"/>
    <n v="20"/>
    <n v="15"/>
    <n v="15"/>
  </r>
  <r>
    <n v="3481"/>
    <x v="239"/>
    <x v="0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1"/>
    <d v="2024-11-04T00:00:00"/>
    <x v="1"/>
    <n v="10"/>
    <x v="0"/>
    <s v="No"/>
    <x v="1"/>
    <s v="Yes"/>
    <n v="20"/>
    <n v="10"/>
    <n v="20"/>
  </r>
  <r>
    <n v="3484"/>
    <x v="242"/>
    <x v="0"/>
    <d v="2024-11-05T00:00:00"/>
    <x v="0"/>
    <n v="5"/>
    <x v="2"/>
    <s v="No"/>
    <x v="1"/>
    <s v="No"/>
    <n v="0"/>
    <n v="0"/>
    <n v="5"/>
  </r>
  <r>
    <n v="3485"/>
    <x v="243"/>
    <x v="1"/>
    <d v="2024-11-06T00:00:00"/>
    <x v="1"/>
    <n v="15"/>
    <x v="0"/>
    <s v="Yes"/>
    <x v="0"/>
    <s v="Yes"/>
    <n v="20"/>
    <n v="15"/>
    <n v="50"/>
  </r>
  <r>
    <n v="3486"/>
    <x v="244"/>
    <x v="0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1"/>
    <d v="2024-11-09T00:00:00"/>
    <x v="0"/>
    <n v="10"/>
    <x v="1"/>
    <s v="No"/>
    <x v="1"/>
    <s v="Yes"/>
    <n v="20"/>
    <n v="10"/>
    <n v="20"/>
  </r>
  <r>
    <n v="3489"/>
    <x v="247"/>
    <x v="0"/>
    <d v="2024-11-10T00:00:00"/>
    <x v="1"/>
    <n v="5"/>
    <x v="2"/>
    <s v="No"/>
    <x v="1"/>
    <s v="No"/>
    <n v="0"/>
    <n v="1"/>
    <n v="4"/>
  </r>
  <r>
    <n v="3490"/>
    <x v="248"/>
    <x v="2"/>
    <d v="2024-11-11T00:00:00"/>
    <x v="0"/>
    <n v="15"/>
    <x v="0"/>
    <s v="Yes"/>
    <x v="0"/>
    <s v="Yes"/>
    <n v="20"/>
    <n v="15"/>
    <n v="50"/>
  </r>
  <r>
    <n v="3491"/>
    <x v="249"/>
    <x v="1"/>
    <d v="2024-11-12T00:00:00"/>
    <x v="1"/>
    <n v="10"/>
    <x v="0"/>
    <s v="No"/>
    <x v="1"/>
    <s v="Yes"/>
    <n v="20"/>
    <n v="5"/>
    <n v="25"/>
  </r>
  <r>
    <n v="3492"/>
    <x v="250"/>
    <x v="0"/>
    <d v="2024-11-13T00:00:00"/>
    <x v="0"/>
    <n v="5"/>
    <x v="1"/>
    <s v="No"/>
    <x v="1"/>
    <s v="No"/>
    <n v="0"/>
    <n v="0"/>
    <n v="5"/>
  </r>
  <r>
    <n v="3493"/>
    <x v="251"/>
    <x v="2"/>
    <d v="2024-11-14T00:00:00"/>
    <x v="1"/>
    <n v="15"/>
    <x v="2"/>
    <s v="Yes"/>
    <x v="0"/>
    <s v="Yes"/>
    <n v="20"/>
    <n v="20"/>
    <n v="45"/>
  </r>
  <r>
    <n v="3494"/>
    <x v="252"/>
    <x v="1"/>
    <d v="2024-11-15T00:00:00"/>
    <x v="0"/>
    <n v="10"/>
    <x v="2"/>
    <s v="No"/>
    <x v="1"/>
    <s v="Yes"/>
    <n v="20"/>
    <n v="12"/>
    <n v="18"/>
  </r>
  <r>
    <n v="3495"/>
    <x v="253"/>
    <x v="0"/>
    <d v="2024-11-16T00:00:00"/>
    <x v="1"/>
    <n v="5"/>
    <x v="0"/>
    <s v="No"/>
    <x v="1"/>
    <s v="No"/>
    <n v="0"/>
    <n v="2"/>
    <n v="3"/>
  </r>
  <r>
    <n v="3496"/>
    <x v="254"/>
    <x v="1"/>
    <d v="2024-11-17T00:00:00"/>
    <x v="0"/>
    <n v="15"/>
    <x v="1"/>
    <s v="Yes"/>
    <x v="0"/>
    <s v="Yes"/>
    <n v="20"/>
    <n v="5"/>
    <n v="60"/>
  </r>
  <r>
    <n v="3497"/>
    <x v="255"/>
    <x v="1"/>
    <d v="2024-11-18T00:00:00"/>
    <x v="1"/>
    <n v="10"/>
    <x v="0"/>
    <s v="No"/>
    <x v="1"/>
    <s v="Yes"/>
    <n v="20"/>
    <n v="10"/>
    <n v="20"/>
  </r>
  <r>
    <n v="3498"/>
    <x v="256"/>
    <x v="0"/>
    <d v="2024-11-19T00:00:00"/>
    <x v="0"/>
    <n v="5"/>
    <x v="2"/>
    <s v="No"/>
    <x v="1"/>
    <s v="No"/>
    <n v="0"/>
    <n v="0"/>
    <n v="5"/>
  </r>
  <r>
    <n v="3499"/>
    <x v="257"/>
    <x v="2"/>
    <d v="2024-11-20T00:00:00"/>
    <x v="1"/>
    <n v="15"/>
    <x v="0"/>
    <s v="Yes"/>
    <x v="0"/>
    <s v="Yes"/>
    <n v="20"/>
    <n v="3"/>
    <n v="62"/>
  </r>
  <r>
    <n v="3500"/>
    <x v="258"/>
    <x v="1"/>
    <d v="2024-11-21T00:00:00"/>
    <x v="0"/>
    <n v="10"/>
    <x v="1"/>
    <s v="No"/>
    <x v="1"/>
    <s v="Yes"/>
    <n v="20"/>
    <n v="15"/>
    <n v="15"/>
  </r>
  <r>
    <n v="3501"/>
    <x v="259"/>
    <x v="0"/>
    <d v="2024-11-22T00:00:00"/>
    <x v="1"/>
    <n v="5"/>
    <x v="0"/>
    <s v="No"/>
    <x v="1"/>
    <s v="No"/>
    <n v="0"/>
    <n v="1"/>
    <n v="4"/>
  </r>
  <r>
    <n v="3502"/>
    <x v="260"/>
    <x v="2"/>
    <d v="2024-11-23T00:00:00"/>
    <x v="0"/>
    <n v="15"/>
    <x v="2"/>
    <s v="Yes"/>
    <x v="0"/>
    <s v="Yes"/>
    <n v="20"/>
    <n v="7"/>
    <n v="58"/>
  </r>
  <r>
    <n v="3503"/>
    <x v="119"/>
    <x v="1"/>
    <d v="2024-11-24T00:00:00"/>
    <x v="1"/>
    <n v="10"/>
    <x v="0"/>
    <s v="No"/>
    <x v="1"/>
    <s v="Yes"/>
    <n v="20"/>
    <n v="10"/>
    <n v="20"/>
  </r>
  <r>
    <n v="3504"/>
    <x v="261"/>
    <x v="0"/>
    <d v="2024-11-25T00:00:00"/>
    <x v="0"/>
    <n v="5"/>
    <x v="1"/>
    <s v="No"/>
    <x v="1"/>
    <s v="No"/>
    <n v="0"/>
    <n v="0"/>
    <n v="5"/>
  </r>
  <r>
    <n v="3505"/>
    <x v="262"/>
    <x v="2"/>
    <d v="2024-11-26T00:00:00"/>
    <x v="1"/>
    <n v="15"/>
    <x v="0"/>
    <s v="Yes"/>
    <x v="0"/>
    <s v="Yes"/>
    <n v="20"/>
    <n v="20"/>
    <n v="45"/>
  </r>
  <r>
    <n v="3506"/>
    <x v="263"/>
    <x v="1"/>
    <d v="2024-11-27T00:00:00"/>
    <x v="0"/>
    <n v="10"/>
    <x v="2"/>
    <s v="No"/>
    <x v="1"/>
    <s v="Yes"/>
    <n v="20"/>
    <n v="15"/>
    <n v="15"/>
  </r>
  <r>
    <n v="3507"/>
    <x v="264"/>
    <x v="0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1"/>
    <d v="2024-11-30T00:00:00"/>
    <x v="1"/>
    <n v="10"/>
    <x v="0"/>
    <s v="No"/>
    <x v="1"/>
    <s v="Yes"/>
    <n v="20"/>
    <n v="10"/>
    <n v="20"/>
  </r>
  <r>
    <n v="3510"/>
    <x v="267"/>
    <x v="0"/>
    <d v="2024-12-01T00:00:00"/>
    <x v="0"/>
    <n v="5"/>
    <x v="2"/>
    <s v="No"/>
    <x v="1"/>
    <s v="No"/>
    <n v="0"/>
    <n v="0"/>
    <n v="5"/>
  </r>
  <r>
    <n v="3511"/>
    <x v="268"/>
    <x v="2"/>
    <d v="2024-12-02T00:00:00"/>
    <x v="1"/>
    <n v="15"/>
    <x v="0"/>
    <s v="Yes"/>
    <x v="0"/>
    <s v="Yes"/>
    <n v="20"/>
    <n v="15"/>
    <n v="50"/>
  </r>
  <r>
    <n v="3512"/>
    <x v="269"/>
    <x v="1"/>
    <d v="2024-12-03T00:00:00"/>
    <x v="0"/>
    <n v="10"/>
    <x v="1"/>
    <s v="No"/>
    <x v="1"/>
    <s v="Yes"/>
    <n v="20"/>
    <n v="15"/>
    <n v="15"/>
  </r>
  <r>
    <n v="3513"/>
    <x v="270"/>
    <x v="0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1"/>
    <d v="2024-12-06T00:00:00"/>
    <x v="1"/>
    <n v="10"/>
    <x v="0"/>
    <s v="No"/>
    <x v="1"/>
    <s v="Yes"/>
    <n v="20"/>
    <n v="10"/>
    <n v="20"/>
  </r>
  <r>
    <n v="3516"/>
    <x v="131"/>
    <x v="0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1"/>
    <d v="2024-12-09T00:00:00"/>
    <x v="0"/>
    <n v="10"/>
    <x v="2"/>
    <s v="No"/>
    <x v="1"/>
    <s v="Yes"/>
    <n v="20"/>
    <n v="12"/>
    <n v="18"/>
  </r>
  <r>
    <n v="3519"/>
    <x v="273"/>
    <x v="0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1"/>
    <d v="2024-12-12T00:00:00"/>
    <x v="1"/>
    <n v="10"/>
    <x v="0"/>
    <s v="No"/>
    <x v="1"/>
    <s v="Yes"/>
    <n v="20"/>
    <n v="10"/>
    <n v="20"/>
  </r>
  <r>
    <n v="3522"/>
    <x v="276"/>
    <x v="0"/>
    <d v="2024-12-13T00:00:00"/>
    <x v="0"/>
    <n v="5"/>
    <x v="2"/>
    <s v="No"/>
    <x v="1"/>
    <s v="No"/>
    <n v="0"/>
    <n v="0"/>
    <n v="5"/>
  </r>
  <r>
    <n v="3523"/>
    <x v="277"/>
    <x v="1"/>
    <d v="2024-12-14T00:00:00"/>
    <x v="1"/>
    <n v="15"/>
    <x v="0"/>
    <s v="Yes"/>
    <x v="0"/>
    <s v="Yes"/>
    <n v="20"/>
    <n v="3"/>
    <n v="62"/>
  </r>
  <r>
    <n v="3524"/>
    <x v="278"/>
    <x v="1"/>
    <d v="2024-12-15T00:00:00"/>
    <x v="0"/>
    <n v="10"/>
    <x v="1"/>
    <s v="No"/>
    <x v="1"/>
    <s v="Yes"/>
    <n v="20"/>
    <n v="15"/>
    <n v="15"/>
  </r>
  <r>
    <n v="3525"/>
    <x v="279"/>
    <x v="0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1FE8A-1862-4780-A447-1AFB40D6412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CE12A-F98F-4AEF-B0F3-24791DC21A7B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E3C88-E49A-467E-85AE-824F74EF8E50}" name="tbl_total_annu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8D4AD18-4409-4A52-B149-350E4E5F5FC0}" sourceName="Subscription Type">
  <pivotTables>
    <pivotTable tabId="3" name="tbl_total_annual"/>
    <pivotTable tabId="3" name="tbl_EAseasonpass_total"/>
    <pivotTable tabId="3" name="Tabela dinâmica3"/>
  </pivotTables>
  <data>
    <tabular pivotCacheId="76648459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E872857-8D88-4521-A7D4-D4A101B2AB7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28" sqref="D2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6</v>
      </c>
      <c r="E5" s="7" t="s">
        <v>318</v>
      </c>
      <c r="F5" t="s">
        <v>5</v>
      </c>
    </row>
    <row r="6" spans="2:16" x14ac:dyDescent="0.25">
      <c r="B6" s="4" t="s">
        <v>3</v>
      </c>
      <c r="C6" t="s">
        <v>6</v>
      </c>
    </row>
    <row r="7" spans="2:16" x14ac:dyDescent="0.25">
      <c r="B7" s="5" t="s">
        <v>317</v>
      </c>
      <c r="C7" t="s">
        <v>7</v>
      </c>
    </row>
    <row r="8" spans="2:16" x14ac:dyDescent="0.25">
      <c r="B8" s="6" t="s">
        <v>4</v>
      </c>
      <c r="C8" t="s">
        <v>7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P297"/>
  <sheetViews>
    <sheetView zoomScale="90" zoomScaleNormal="90" workbookViewId="0">
      <selection activeCell="D28" sqref="D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25">
      <c r="A2" s="8">
        <v>3231</v>
      </c>
      <c r="B2" s="8" t="s">
        <v>15</v>
      </c>
      <c r="C2" s="8" t="s">
        <v>20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33</v>
      </c>
      <c r="C8" s="8" t="s">
        <v>24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35</v>
      </c>
      <c r="C10" s="8" t="s">
        <v>24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38</v>
      </c>
      <c r="C13" s="8" t="s">
        <v>24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41</v>
      </c>
      <c r="C16" s="8" t="s">
        <v>20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44</v>
      </c>
      <c r="C19" s="8" t="s">
        <v>20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47</v>
      </c>
      <c r="C22" s="8" t="s">
        <v>24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50</v>
      </c>
      <c r="C25" s="8" t="s">
        <v>20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56</v>
      </c>
      <c r="C31" s="8" t="s">
        <v>24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59</v>
      </c>
      <c r="C34" s="8" t="s">
        <v>24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6" ht="16.5" customHeight="1" x14ac:dyDescent="0.2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6" ht="16.5" customHeight="1" x14ac:dyDescent="0.25">
      <c r="A50" s="8">
        <v>3279</v>
      </c>
      <c r="B50" s="8" t="s">
        <v>75</v>
      </c>
      <c r="C50" s="8" t="s">
        <v>24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6" ht="16.5" customHeight="1" x14ac:dyDescent="0.2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6" ht="16.5" customHeight="1" x14ac:dyDescent="0.2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6" ht="16.5" customHeight="1" x14ac:dyDescent="0.25">
      <c r="A53" s="8">
        <v>3282</v>
      </c>
      <c r="B53" s="8" t="s">
        <v>78</v>
      </c>
      <c r="C53" s="8" t="s">
        <v>24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6" ht="16.5" customHeight="1" x14ac:dyDescent="0.2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6" ht="16.5" customHeight="1" x14ac:dyDescent="0.2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6" ht="16.5" customHeight="1" x14ac:dyDescent="0.25">
      <c r="A56" s="8">
        <v>3285</v>
      </c>
      <c r="B56" s="8" t="s">
        <v>81</v>
      </c>
      <c r="C56" s="8" t="s">
        <v>24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6" ht="16.5" customHeight="1" x14ac:dyDescent="0.2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6" ht="16.5" customHeight="1" x14ac:dyDescent="0.2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6" ht="16.5" customHeight="1" x14ac:dyDescent="0.25">
      <c r="A59" s="8">
        <v>3288</v>
      </c>
      <c r="B59" s="8" t="s">
        <v>84</v>
      </c>
      <c r="C59" s="8" t="s">
        <v>24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  <c r="O59" s="12"/>
      <c r="P59" s="12"/>
    </row>
    <row r="60" spans="1:16" ht="16.5" customHeight="1" x14ac:dyDescent="0.2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  <c r="O60" s="12"/>
      <c r="P60" s="12"/>
    </row>
    <row r="61" spans="1:16" ht="16.5" customHeight="1" x14ac:dyDescent="0.2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  <c r="O61" s="12"/>
      <c r="P61" s="12"/>
    </row>
    <row r="62" spans="1:16" ht="16.5" customHeight="1" x14ac:dyDescent="0.25">
      <c r="A62" s="8">
        <v>3291</v>
      </c>
      <c r="B62" s="8" t="s">
        <v>87</v>
      </c>
      <c r="C62" s="8" t="s">
        <v>24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  <c r="O62" s="12"/>
      <c r="P62" s="12"/>
    </row>
    <row r="63" spans="1:16" ht="16.5" customHeight="1" x14ac:dyDescent="0.2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  <c r="O63" s="12"/>
      <c r="P63" s="12"/>
    </row>
    <row r="64" spans="1:16" ht="16.5" customHeight="1" x14ac:dyDescent="0.2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  <c r="O64" s="12"/>
      <c r="P64" s="12"/>
    </row>
    <row r="65" spans="1:16" ht="16.5" customHeight="1" x14ac:dyDescent="0.2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  <c r="O65" s="12"/>
      <c r="P65" s="12"/>
    </row>
    <row r="66" spans="1:16" ht="16.5" customHeight="1" x14ac:dyDescent="0.2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  <c r="O66" s="12"/>
      <c r="P66" s="12"/>
    </row>
    <row r="67" spans="1:16" ht="16.5" customHeight="1" x14ac:dyDescent="0.2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  <c r="O67" s="12"/>
      <c r="P67" s="12"/>
    </row>
    <row r="68" spans="1:16" ht="16.5" customHeight="1" x14ac:dyDescent="0.2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  <c r="O68" s="12"/>
      <c r="P68" s="12"/>
    </row>
    <row r="69" spans="1:16" ht="16.5" customHeight="1" x14ac:dyDescent="0.2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  <c r="O69" s="12"/>
      <c r="P69" s="12"/>
    </row>
    <row r="70" spans="1:16" ht="16.5" customHeight="1" x14ac:dyDescent="0.2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  <c r="O70" s="12"/>
      <c r="P70" s="12"/>
    </row>
    <row r="71" spans="1:16" ht="16.5" customHeight="1" x14ac:dyDescent="0.25">
      <c r="A71" s="8">
        <v>3300</v>
      </c>
      <c r="B71" s="8" t="s">
        <v>96</v>
      </c>
      <c r="C71" s="8" t="s">
        <v>20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  <c r="O71" s="12"/>
      <c r="P71" s="12"/>
    </row>
    <row r="72" spans="1:16" ht="16.5" customHeight="1" x14ac:dyDescent="0.2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  <c r="O72" s="12"/>
      <c r="P72" s="12"/>
    </row>
    <row r="73" spans="1:16" ht="16.5" customHeight="1" x14ac:dyDescent="0.2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  <c r="O73" s="12"/>
      <c r="P73" s="12"/>
    </row>
    <row r="74" spans="1:16" ht="16.5" customHeight="1" x14ac:dyDescent="0.25">
      <c r="A74" s="8">
        <v>3303</v>
      </c>
      <c r="B74" s="8" t="s">
        <v>99</v>
      </c>
      <c r="C74" s="8" t="s">
        <v>24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  <c r="O74" s="12"/>
      <c r="P74" s="12"/>
    </row>
    <row r="75" spans="1:16" ht="16.5" customHeight="1" x14ac:dyDescent="0.2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  <c r="O75" s="12"/>
      <c r="P75" s="12"/>
    </row>
    <row r="76" spans="1:16" ht="16.5" customHeight="1" x14ac:dyDescent="0.2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  <c r="O76" s="12"/>
      <c r="P76" s="12"/>
    </row>
    <row r="77" spans="1:16" ht="16.5" customHeight="1" x14ac:dyDescent="0.25">
      <c r="A77" s="8">
        <v>3306</v>
      </c>
      <c r="B77" s="8" t="s">
        <v>102</v>
      </c>
      <c r="C77" s="8" t="s">
        <v>20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  <c r="O77" s="12"/>
      <c r="P77" s="12"/>
    </row>
    <row r="78" spans="1:16" ht="16.5" customHeight="1" x14ac:dyDescent="0.2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  <c r="O78" s="12"/>
      <c r="P78" s="12"/>
    </row>
    <row r="79" spans="1:16" ht="16.5" customHeight="1" x14ac:dyDescent="0.2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  <c r="O79" s="12"/>
      <c r="P79" s="12"/>
    </row>
    <row r="80" spans="1:16" ht="16.5" customHeight="1" x14ac:dyDescent="0.25">
      <c r="A80" s="8">
        <v>3309</v>
      </c>
      <c r="B80" s="8" t="s">
        <v>105</v>
      </c>
      <c r="C80" s="8" t="s">
        <v>20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  <c r="O80" s="12"/>
      <c r="P80" s="12"/>
    </row>
    <row r="81" spans="1:16" ht="16.5" customHeight="1" x14ac:dyDescent="0.2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  <c r="O81" s="12"/>
      <c r="P81" s="12"/>
    </row>
    <row r="82" spans="1:16" ht="16.5" customHeight="1" x14ac:dyDescent="0.2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  <c r="O82" s="12"/>
      <c r="P82" s="12"/>
    </row>
    <row r="83" spans="1:16" ht="16.5" customHeight="1" x14ac:dyDescent="0.2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  <c r="O83" s="12"/>
      <c r="P83" s="12"/>
    </row>
    <row r="84" spans="1:16" ht="16.5" customHeight="1" x14ac:dyDescent="0.2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  <c r="O84" s="12"/>
      <c r="P84" s="12"/>
    </row>
    <row r="85" spans="1:16" ht="16.5" customHeight="1" x14ac:dyDescent="0.2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  <c r="O85" s="12"/>
      <c r="P85" s="12"/>
    </row>
    <row r="86" spans="1:16" ht="16.5" customHeight="1" x14ac:dyDescent="0.2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  <c r="O86" s="12"/>
      <c r="P86" s="12"/>
    </row>
    <row r="87" spans="1:16" ht="16.5" customHeight="1" x14ac:dyDescent="0.2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  <c r="O87" s="12"/>
      <c r="P87" s="12"/>
    </row>
    <row r="88" spans="1:16" ht="16.5" customHeight="1" x14ac:dyDescent="0.2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  <c r="O88" s="12"/>
      <c r="P88" s="12"/>
    </row>
    <row r="89" spans="1:16" ht="16.5" customHeight="1" x14ac:dyDescent="0.2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  <c r="O89" s="12"/>
      <c r="P89" s="12"/>
    </row>
    <row r="90" spans="1:16" ht="16.5" customHeight="1" x14ac:dyDescent="0.2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  <c r="O90" s="12"/>
      <c r="P90" s="12"/>
    </row>
    <row r="91" spans="1:16" ht="16.5" customHeight="1" x14ac:dyDescent="0.2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  <c r="O91" s="12"/>
      <c r="P91" s="12"/>
    </row>
    <row r="92" spans="1:16" ht="16.5" customHeight="1" x14ac:dyDescent="0.25">
      <c r="A92" s="8">
        <v>3321</v>
      </c>
      <c r="B92" s="8" t="s">
        <v>117</v>
      </c>
      <c r="C92" s="8" t="s">
        <v>24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  <c r="O92" s="12"/>
      <c r="P92" s="12"/>
    </row>
    <row r="93" spans="1:16" ht="16.5" customHeight="1" x14ac:dyDescent="0.2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  <c r="O93" s="12"/>
      <c r="P93" s="12"/>
    </row>
    <row r="94" spans="1:16" ht="16.5" customHeight="1" x14ac:dyDescent="0.2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  <c r="O94" s="12"/>
      <c r="P94" s="12"/>
    </row>
    <row r="95" spans="1:16" ht="16.5" customHeight="1" x14ac:dyDescent="0.25">
      <c r="A95" s="8">
        <v>3324</v>
      </c>
      <c r="B95" s="8" t="s">
        <v>120</v>
      </c>
      <c r="C95" s="8" t="s">
        <v>20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  <c r="O95" s="12"/>
      <c r="P95" s="12"/>
    </row>
    <row r="96" spans="1:16" ht="16.5" customHeight="1" x14ac:dyDescent="0.2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  <c r="O96" s="12"/>
      <c r="P96" s="12"/>
    </row>
    <row r="97" spans="1:16" ht="16.5" customHeight="1" x14ac:dyDescent="0.2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  <c r="O97" s="12"/>
      <c r="P97" s="12"/>
    </row>
    <row r="98" spans="1:16" ht="16.5" customHeight="1" x14ac:dyDescent="0.25">
      <c r="A98" s="8">
        <v>3327</v>
      </c>
      <c r="B98" s="8" t="s">
        <v>123</v>
      </c>
      <c r="C98" s="8" t="s">
        <v>20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  <c r="O98" s="12"/>
      <c r="P98" s="12"/>
    </row>
    <row r="99" spans="1:16" ht="16.5" customHeight="1" x14ac:dyDescent="0.2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  <c r="O99" s="12"/>
      <c r="P99" s="12"/>
    </row>
    <row r="100" spans="1:16" ht="16.5" customHeight="1" x14ac:dyDescent="0.2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  <c r="O100" s="12"/>
      <c r="P100" s="12"/>
    </row>
    <row r="101" spans="1:16" ht="16.5" customHeight="1" x14ac:dyDescent="0.2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  <c r="O101" s="12"/>
      <c r="P101" s="12"/>
    </row>
    <row r="102" spans="1:16" ht="16.5" customHeight="1" x14ac:dyDescent="0.2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  <c r="O102" s="12"/>
      <c r="P102" s="12"/>
    </row>
    <row r="103" spans="1:16" ht="16.5" customHeight="1" x14ac:dyDescent="0.2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  <c r="O103" s="12"/>
      <c r="P103" s="12"/>
    </row>
    <row r="104" spans="1:16" ht="16.5" customHeight="1" x14ac:dyDescent="0.25">
      <c r="A104" s="8">
        <v>3333</v>
      </c>
      <c r="B104" s="8" t="s">
        <v>129</v>
      </c>
      <c r="C104" s="8" t="s">
        <v>20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  <c r="O104" s="12"/>
      <c r="P104" s="12"/>
    </row>
    <row r="105" spans="1:16" ht="16.5" customHeight="1" x14ac:dyDescent="0.2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  <c r="O105" s="12"/>
      <c r="P105" s="12"/>
    </row>
    <row r="106" spans="1:16" ht="16.5" customHeight="1" x14ac:dyDescent="0.2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  <c r="O106" s="12"/>
      <c r="P106" s="12"/>
    </row>
    <row r="107" spans="1:16" ht="16.5" customHeight="1" x14ac:dyDescent="0.2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  <c r="O107" s="12"/>
      <c r="P107" s="12"/>
    </row>
    <row r="108" spans="1:16" ht="16.5" customHeight="1" x14ac:dyDescent="0.25">
      <c r="A108" s="8">
        <v>3337</v>
      </c>
      <c r="B108" s="8" t="s">
        <v>133</v>
      </c>
      <c r="C108" s="8" t="s">
        <v>24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  <c r="O108" s="12"/>
      <c r="P108" s="12"/>
    </row>
    <row r="109" spans="1:16" ht="16.5" customHeight="1" x14ac:dyDescent="0.2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  <c r="O109" s="12"/>
      <c r="P109" s="12"/>
    </row>
    <row r="110" spans="1:16" ht="16.5" customHeight="1" x14ac:dyDescent="0.2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  <c r="O110" s="12"/>
      <c r="P110" s="12"/>
    </row>
    <row r="111" spans="1:16" ht="16.5" customHeight="1" x14ac:dyDescent="0.25">
      <c r="A111" s="8">
        <v>3340</v>
      </c>
      <c r="B111" s="8" t="s">
        <v>136</v>
      </c>
      <c r="C111" s="8" t="s">
        <v>20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  <c r="O111" s="12"/>
      <c r="P111" s="12"/>
    </row>
    <row r="112" spans="1:16" ht="16.5" customHeight="1" x14ac:dyDescent="0.2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  <c r="O112" s="12"/>
      <c r="P112" s="12"/>
    </row>
    <row r="113" spans="1:16" ht="16.5" customHeight="1" x14ac:dyDescent="0.2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  <c r="O113" s="12"/>
      <c r="P113" s="12"/>
    </row>
    <row r="114" spans="1:16" ht="16.5" customHeight="1" x14ac:dyDescent="0.25">
      <c r="A114" s="8">
        <v>3343</v>
      </c>
      <c r="B114" s="8" t="s">
        <v>139</v>
      </c>
      <c r="C114" s="8" t="s">
        <v>24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  <c r="O114" s="12"/>
      <c r="P114" s="12"/>
    </row>
    <row r="115" spans="1:16" ht="16.5" customHeight="1" x14ac:dyDescent="0.2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  <c r="O115" s="12"/>
      <c r="P115" s="12"/>
    </row>
    <row r="116" spans="1:16" ht="16.5" customHeight="1" x14ac:dyDescent="0.2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  <c r="O116" s="12"/>
      <c r="P116" s="12"/>
    </row>
    <row r="117" spans="1:16" ht="16.5" customHeight="1" x14ac:dyDescent="0.25">
      <c r="A117" s="8">
        <v>3346</v>
      </c>
      <c r="B117" s="8" t="s">
        <v>142</v>
      </c>
      <c r="C117" s="8" t="s">
        <v>20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  <c r="O117" s="12"/>
      <c r="P117" s="12"/>
    </row>
    <row r="118" spans="1:16" ht="16.5" customHeight="1" x14ac:dyDescent="0.2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  <c r="O118" s="12"/>
      <c r="P118" s="12"/>
    </row>
    <row r="119" spans="1:16" ht="16.5" customHeight="1" x14ac:dyDescent="0.2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  <c r="O119" s="12"/>
      <c r="P119" s="12"/>
    </row>
    <row r="120" spans="1:16" ht="16.5" customHeight="1" x14ac:dyDescent="0.25">
      <c r="A120" s="8">
        <v>3349</v>
      </c>
      <c r="B120" s="8" t="s">
        <v>120</v>
      </c>
      <c r="C120" s="8" t="s">
        <v>24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  <c r="O120" s="12"/>
      <c r="P120" s="12"/>
    </row>
    <row r="121" spans="1:16" ht="16.5" customHeight="1" x14ac:dyDescent="0.2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  <c r="O121" s="12"/>
      <c r="P121" s="12"/>
    </row>
    <row r="122" spans="1:16" ht="16.5" customHeight="1" x14ac:dyDescent="0.2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  <c r="O122" s="12"/>
      <c r="P122" s="12"/>
    </row>
    <row r="123" spans="1:16" ht="16.5" customHeight="1" x14ac:dyDescent="0.25">
      <c r="A123" s="8">
        <v>3352</v>
      </c>
      <c r="B123" s="8" t="s">
        <v>147</v>
      </c>
      <c r="C123" s="8" t="s">
        <v>24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  <c r="O123" s="12"/>
      <c r="P123" s="12"/>
    </row>
    <row r="124" spans="1:16" ht="16.5" customHeight="1" x14ac:dyDescent="0.2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  <c r="O124" s="12"/>
      <c r="P124" s="12"/>
    </row>
    <row r="125" spans="1:16" ht="16.5" customHeight="1" x14ac:dyDescent="0.2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  <c r="O125" s="12"/>
      <c r="P125" s="12"/>
    </row>
    <row r="126" spans="1:16" ht="16.5" customHeight="1" x14ac:dyDescent="0.25">
      <c r="A126" s="8">
        <v>3355</v>
      </c>
      <c r="B126" s="8" t="s">
        <v>150</v>
      </c>
      <c r="C126" s="8" t="s">
        <v>20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  <c r="O126" s="12"/>
      <c r="P126" s="12"/>
    </row>
    <row r="127" spans="1:16" ht="16.5" customHeight="1" x14ac:dyDescent="0.2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  <c r="O127" s="12"/>
      <c r="P127" s="12"/>
    </row>
    <row r="128" spans="1:16" ht="16.5" customHeight="1" x14ac:dyDescent="0.2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  <c r="O128" s="12"/>
      <c r="P128" s="12"/>
    </row>
    <row r="129" spans="1:16" ht="16.5" customHeight="1" x14ac:dyDescent="0.25">
      <c r="A129" s="8">
        <v>3358</v>
      </c>
      <c r="B129" s="8" t="s">
        <v>153</v>
      </c>
      <c r="C129" s="8" t="s">
        <v>20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  <c r="O129" s="12"/>
      <c r="P129" s="12"/>
    </row>
    <row r="130" spans="1:16" ht="16.5" customHeight="1" x14ac:dyDescent="0.2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  <c r="O130" s="12"/>
      <c r="P130" s="12"/>
    </row>
    <row r="131" spans="1:16" ht="16.5" customHeight="1" x14ac:dyDescent="0.2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  <c r="O131" s="12"/>
      <c r="P131" s="12"/>
    </row>
    <row r="132" spans="1:16" ht="16.5" customHeight="1" x14ac:dyDescent="0.25">
      <c r="A132" s="8">
        <v>3361</v>
      </c>
      <c r="B132" s="8" t="s">
        <v>156</v>
      </c>
      <c r="C132" s="8" t="s">
        <v>20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  <c r="O132" s="12"/>
      <c r="P132" s="12"/>
    </row>
    <row r="133" spans="1:16" ht="16.5" customHeight="1" x14ac:dyDescent="0.2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  <c r="O133" s="12"/>
      <c r="P133" s="12"/>
    </row>
    <row r="134" spans="1:16" ht="16.5" customHeight="1" x14ac:dyDescent="0.2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  <c r="O134" s="12"/>
      <c r="P134" s="12"/>
    </row>
    <row r="135" spans="1:16" ht="16.5" customHeight="1" x14ac:dyDescent="0.25">
      <c r="A135" s="8">
        <v>3364</v>
      </c>
      <c r="B135" s="8" t="s">
        <v>159</v>
      </c>
      <c r="C135" s="8" t="s">
        <v>20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  <c r="O135" s="12"/>
      <c r="P135" s="12"/>
    </row>
    <row r="136" spans="1:16" ht="16.5" customHeight="1" x14ac:dyDescent="0.2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  <c r="O136" s="12"/>
      <c r="P136" s="12"/>
    </row>
    <row r="137" spans="1:16" ht="16.5" customHeight="1" x14ac:dyDescent="0.2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  <c r="O137" s="12"/>
      <c r="P137" s="12"/>
    </row>
    <row r="138" spans="1:16" ht="16.5" customHeight="1" x14ac:dyDescent="0.2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  <c r="O138" s="12"/>
      <c r="P138" s="12"/>
    </row>
    <row r="139" spans="1:16" ht="16.5" customHeight="1" x14ac:dyDescent="0.2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  <c r="O139" s="12"/>
      <c r="P139" s="12"/>
    </row>
    <row r="140" spans="1:16" ht="16.5" customHeight="1" x14ac:dyDescent="0.2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  <c r="O140" s="12"/>
      <c r="P140" s="12"/>
    </row>
    <row r="141" spans="1:16" ht="16.5" customHeight="1" x14ac:dyDescent="0.25">
      <c r="A141" s="8">
        <v>3370</v>
      </c>
      <c r="B141" s="8" t="s">
        <v>165</v>
      </c>
      <c r="C141" s="8" t="s">
        <v>20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  <c r="O141" s="12"/>
      <c r="P141" s="12"/>
    </row>
    <row r="142" spans="1:16" ht="16.5" customHeight="1" x14ac:dyDescent="0.2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  <c r="O142" s="12"/>
      <c r="P142" s="12"/>
    </row>
    <row r="143" spans="1:16" ht="16.5" customHeight="1" x14ac:dyDescent="0.2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  <c r="O143" s="12"/>
      <c r="P143" s="12"/>
    </row>
    <row r="144" spans="1:16" ht="16.5" customHeight="1" x14ac:dyDescent="0.2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  <c r="O144" s="12"/>
      <c r="P144" s="12"/>
    </row>
    <row r="145" spans="1:16" ht="16.5" customHeight="1" x14ac:dyDescent="0.2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  <c r="O145" s="13"/>
      <c r="P145" s="12"/>
    </row>
    <row r="146" spans="1:16" ht="16.5" customHeight="1" x14ac:dyDescent="0.2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  <c r="O146" s="13"/>
      <c r="P146" s="12"/>
    </row>
    <row r="147" spans="1:16" ht="16.5" customHeight="1" x14ac:dyDescent="0.2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  <c r="O147" s="13"/>
      <c r="P147" s="12"/>
    </row>
    <row r="148" spans="1:16" ht="16.5" customHeight="1" x14ac:dyDescent="0.2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  <c r="O148" s="13"/>
      <c r="P148" s="12"/>
    </row>
    <row r="149" spans="1:16" ht="16.5" customHeight="1" x14ac:dyDescent="0.2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  <c r="O149" s="13"/>
      <c r="P149" s="12"/>
    </row>
    <row r="150" spans="1:16" ht="16.5" customHeight="1" x14ac:dyDescent="0.25">
      <c r="A150" s="8">
        <v>3379</v>
      </c>
      <c r="B150" s="8" t="s">
        <v>174</v>
      </c>
      <c r="C150" s="8" t="s">
        <v>20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  <c r="O150" s="13"/>
      <c r="P150" s="12"/>
    </row>
    <row r="151" spans="1:16" ht="16.5" customHeight="1" x14ac:dyDescent="0.2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  <c r="O151" s="13"/>
      <c r="P151" s="12"/>
    </row>
    <row r="152" spans="1:16" ht="16.5" customHeight="1" x14ac:dyDescent="0.2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  <c r="O152" s="13"/>
      <c r="P152" s="12"/>
    </row>
    <row r="153" spans="1:16" ht="16.5" customHeight="1" x14ac:dyDescent="0.2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  <c r="O153" s="13"/>
      <c r="P153" s="12"/>
    </row>
    <row r="154" spans="1:16" ht="16.5" customHeight="1" x14ac:dyDescent="0.2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  <c r="O154" s="13"/>
      <c r="P154" s="12"/>
    </row>
    <row r="155" spans="1:16" ht="16.5" customHeight="1" x14ac:dyDescent="0.2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  <c r="O155" s="13"/>
      <c r="P155" s="12"/>
    </row>
    <row r="156" spans="1:16" ht="16.5" customHeight="1" x14ac:dyDescent="0.25">
      <c r="A156" s="8">
        <v>3385</v>
      </c>
      <c r="B156" s="8" t="s">
        <v>180</v>
      </c>
      <c r="C156" s="8" t="s">
        <v>24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  <c r="O156" s="13"/>
      <c r="P156" s="12"/>
    </row>
    <row r="157" spans="1:16" ht="16.5" customHeight="1" x14ac:dyDescent="0.2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  <c r="O157" s="13"/>
      <c r="P157" s="12"/>
    </row>
    <row r="158" spans="1:16" ht="16.5" customHeight="1" x14ac:dyDescent="0.2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  <c r="O158" s="13"/>
      <c r="P158" s="12"/>
    </row>
    <row r="159" spans="1:16" ht="16.5" customHeight="1" x14ac:dyDescent="0.25">
      <c r="A159" s="8">
        <v>3388</v>
      </c>
      <c r="B159" s="8" t="s">
        <v>183</v>
      </c>
      <c r="C159" s="8" t="s">
        <v>24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  <c r="O159" s="13"/>
      <c r="P159" s="12"/>
    </row>
    <row r="160" spans="1:16" ht="16.5" customHeight="1" x14ac:dyDescent="0.2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  <c r="O160" s="13"/>
      <c r="P160" s="12"/>
    </row>
    <row r="161" spans="1:16" ht="16.5" customHeight="1" x14ac:dyDescent="0.2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  <c r="O161" s="13"/>
      <c r="P161" s="12"/>
    </row>
    <row r="162" spans="1:16" ht="16.5" customHeight="1" x14ac:dyDescent="0.25">
      <c r="A162" s="8">
        <v>3391</v>
      </c>
      <c r="B162" s="8" t="s">
        <v>85</v>
      </c>
      <c r="C162" s="8" t="s">
        <v>24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  <c r="O162" s="13"/>
      <c r="P162" s="12"/>
    </row>
    <row r="163" spans="1:16" ht="16.5" customHeight="1" x14ac:dyDescent="0.2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  <c r="O163" s="13"/>
      <c r="P163" s="12"/>
    </row>
    <row r="164" spans="1:16" ht="16.5" customHeight="1" x14ac:dyDescent="0.2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  <c r="O164" s="13"/>
      <c r="P164" s="12"/>
    </row>
    <row r="165" spans="1:16" ht="16.5" customHeight="1" x14ac:dyDescent="0.2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  <c r="O165" s="13"/>
      <c r="P165" s="12"/>
    </row>
    <row r="166" spans="1:16" ht="16.5" customHeight="1" x14ac:dyDescent="0.2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  <c r="O166" s="13"/>
      <c r="P166" s="12"/>
    </row>
    <row r="167" spans="1:16" ht="16.5" customHeight="1" x14ac:dyDescent="0.2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  <c r="O167" s="13"/>
      <c r="P167" s="12"/>
    </row>
    <row r="168" spans="1:16" ht="16.5" customHeight="1" x14ac:dyDescent="0.25">
      <c r="A168" s="8">
        <v>3397</v>
      </c>
      <c r="B168" s="8" t="s">
        <v>117</v>
      </c>
      <c r="C168" s="8" t="s">
        <v>20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  <c r="O168" s="13"/>
      <c r="P168" s="12"/>
    </row>
    <row r="169" spans="1:16" ht="16.5" customHeight="1" x14ac:dyDescent="0.2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  <c r="O169" s="13"/>
      <c r="P169" s="12"/>
    </row>
    <row r="170" spans="1:16" ht="16.5" customHeight="1" x14ac:dyDescent="0.2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  <c r="O170" s="13"/>
      <c r="P170" s="12"/>
    </row>
    <row r="171" spans="1:16" ht="16.5" customHeight="1" x14ac:dyDescent="0.2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  <c r="O171" s="13"/>
      <c r="P171" s="12"/>
    </row>
    <row r="172" spans="1:16" ht="16.5" customHeight="1" x14ac:dyDescent="0.2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  <c r="O172" s="13"/>
      <c r="P172" s="12"/>
    </row>
    <row r="173" spans="1:16" ht="16.5" customHeight="1" x14ac:dyDescent="0.2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  <c r="O173" s="13"/>
      <c r="P173" s="12"/>
    </row>
    <row r="174" spans="1:16" ht="16.5" customHeight="1" x14ac:dyDescent="0.25">
      <c r="A174" s="8">
        <v>3403</v>
      </c>
      <c r="B174" s="8" t="s">
        <v>196</v>
      </c>
      <c r="C174" s="8" t="s">
        <v>20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  <c r="O174" s="13"/>
      <c r="P174" s="12"/>
    </row>
    <row r="175" spans="1:16" ht="16.5" customHeight="1" x14ac:dyDescent="0.2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  <c r="O175" s="13"/>
      <c r="P175" s="12"/>
    </row>
    <row r="176" spans="1:16" ht="16.5" customHeight="1" x14ac:dyDescent="0.2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  <c r="O176" s="13"/>
      <c r="P176" s="12"/>
    </row>
    <row r="177" spans="1:16" ht="16.5" customHeight="1" x14ac:dyDescent="0.2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  <c r="O177" s="13"/>
      <c r="P177" s="12"/>
    </row>
    <row r="178" spans="1:16" ht="16.5" customHeight="1" x14ac:dyDescent="0.25">
      <c r="A178" s="8">
        <v>3407</v>
      </c>
      <c r="B178" s="8" t="s">
        <v>200</v>
      </c>
      <c r="C178" s="8" t="s">
        <v>20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  <c r="O178" s="13"/>
      <c r="P178" s="12"/>
    </row>
    <row r="179" spans="1:16" ht="16.5" customHeight="1" x14ac:dyDescent="0.2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  <c r="O179" s="13"/>
      <c r="P179" s="12"/>
    </row>
    <row r="180" spans="1:16" ht="16.5" customHeight="1" x14ac:dyDescent="0.2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  <c r="O180" s="13"/>
      <c r="P180" s="12"/>
    </row>
    <row r="181" spans="1:16" ht="16.5" customHeight="1" x14ac:dyDescent="0.25">
      <c r="A181" s="8">
        <v>3410</v>
      </c>
      <c r="B181" s="8" t="s">
        <v>203</v>
      </c>
      <c r="C181" s="8" t="s">
        <v>24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  <c r="O181" s="13"/>
      <c r="P181" s="12"/>
    </row>
    <row r="182" spans="1:16" ht="16.5" customHeight="1" x14ac:dyDescent="0.2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  <c r="O182" s="13"/>
      <c r="P182" s="12"/>
    </row>
    <row r="183" spans="1:16" ht="16.5" customHeight="1" x14ac:dyDescent="0.2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  <c r="O183" s="13"/>
      <c r="P183" s="12"/>
    </row>
    <row r="184" spans="1:16" ht="16.5" customHeight="1" x14ac:dyDescent="0.2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  <c r="O184" s="13"/>
      <c r="P184" s="12"/>
    </row>
    <row r="185" spans="1:16" ht="16.5" customHeight="1" x14ac:dyDescent="0.2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  <c r="O185" s="13"/>
      <c r="P185" s="12"/>
    </row>
    <row r="186" spans="1:16" ht="16.5" customHeight="1" x14ac:dyDescent="0.2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  <c r="O186" s="13"/>
      <c r="P186" s="12"/>
    </row>
    <row r="187" spans="1:16" ht="16.5" customHeight="1" x14ac:dyDescent="0.2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  <c r="O187" s="13"/>
      <c r="P187" s="12"/>
    </row>
    <row r="188" spans="1:16" ht="16.5" customHeight="1" x14ac:dyDescent="0.2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  <c r="O188" s="13"/>
      <c r="P188" s="12"/>
    </row>
    <row r="189" spans="1:16" ht="16.5" customHeight="1" x14ac:dyDescent="0.2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  <c r="O189" s="13"/>
      <c r="P189" s="12"/>
    </row>
    <row r="190" spans="1:16" ht="16.5" customHeight="1" x14ac:dyDescent="0.25">
      <c r="A190" s="8">
        <v>3419</v>
      </c>
      <c r="B190" s="8" t="s">
        <v>212</v>
      </c>
      <c r="C190" s="8" t="s">
        <v>24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  <c r="O190" s="13"/>
      <c r="P190" s="12"/>
    </row>
    <row r="191" spans="1:16" ht="16.5" customHeight="1" x14ac:dyDescent="0.2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  <c r="O191" s="13"/>
      <c r="P191" s="12"/>
    </row>
    <row r="192" spans="1:16" ht="16.5" customHeight="1" x14ac:dyDescent="0.2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  <c r="O192" s="13"/>
      <c r="P192" s="12"/>
    </row>
    <row r="193" spans="1:16" ht="16.5" customHeight="1" x14ac:dyDescent="0.2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  <c r="O193" s="13"/>
      <c r="P193" s="12"/>
    </row>
    <row r="194" spans="1:16" ht="16.5" customHeight="1" x14ac:dyDescent="0.2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  <c r="O194" s="13"/>
      <c r="P194" s="12"/>
    </row>
    <row r="195" spans="1:16" ht="16.5" customHeight="1" x14ac:dyDescent="0.2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  <c r="O195" s="13"/>
      <c r="P195" s="12"/>
    </row>
    <row r="196" spans="1:16" ht="16.5" customHeight="1" x14ac:dyDescent="0.25">
      <c r="A196" s="8">
        <v>3425</v>
      </c>
      <c r="B196" s="8" t="s">
        <v>216</v>
      </c>
      <c r="C196" s="8" t="s">
        <v>20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  <c r="O196" s="13"/>
      <c r="P196" s="12"/>
    </row>
    <row r="197" spans="1:16" ht="16.5" customHeight="1" x14ac:dyDescent="0.2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  <c r="O197" s="13"/>
      <c r="P197" s="12"/>
    </row>
    <row r="198" spans="1:16" ht="16.5" customHeight="1" x14ac:dyDescent="0.2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  <c r="O198" s="13"/>
      <c r="P198" s="12"/>
    </row>
    <row r="199" spans="1:16" ht="16.5" customHeight="1" x14ac:dyDescent="0.2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  <c r="O199" s="13"/>
      <c r="P199" s="12"/>
    </row>
    <row r="200" spans="1:16" ht="16.5" customHeight="1" x14ac:dyDescent="0.2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  <c r="O200" s="13"/>
      <c r="P200" s="12"/>
    </row>
    <row r="201" spans="1:16" ht="16.5" customHeight="1" x14ac:dyDescent="0.2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  <c r="O201" s="13"/>
      <c r="P201" s="12"/>
    </row>
    <row r="202" spans="1:16" ht="16.5" customHeight="1" x14ac:dyDescent="0.25">
      <c r="A202" s="8">
        <v>3431</v>
      </c>
      <c r="B202" s="8" t="s">
        <v>221</v>
      </c>
      <c r="C202" s="8" t="s">
        <v>24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  <c r="O202" s="13"/>
      <c r="P202" s="12"/>
    </row>
    <row r="203" spans="1:16" ht="16.5" customHeight="1" x14ac:dyDescent="0.2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  <c r="O203" s="13"/>
      <c r="P203" s="12"/>
    </row>
    <row r="204" spans="1:16" ht="16.5" customHeight="1" x14ac:dyDescent="0.2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  <c r="O204" s="13"/>
      <c r="P204" s="12"/>
    </row>
    <row r="205" spans="1:16" ht="16.5" customHeight="1" x14ac:dyDescent="0.25">
      <c r="A205" s="8">
        <v>3434</v>
      </c>
      <c r="B205" s="8" t="s">
        <v>224</v>
      </c>
      <c r="C205" s="8" t="s">
        <v>24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  <c r="O205" s="13"/>
      <c r="P205" s="12"/>
    </row>
    <row r="206" spans="1:16" ht="16.5" customHeight="1" x14ac:dyDescent="0.2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  <c r="O206" s="13"/>
      <c r="P206" s="12"/>
    </row>
    <row r="207" spans="1:16" ht="16.5" customHeight="1" x14ac:dyDescent="0.2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  <c r="O207" s="13"/>
      <c r="P207" s="12"/>
    </row>
    <row r="208" spans="1:16" ht="16.5" customHeight="1" x14ac:dyDescent="0.25">
      <c r="A208" s="8">
        <v>3437</v>
      </c>
      <c r="B208" s="8" t="s">
        <v>227</v>
      </c>
      <c r="C208" s="8" t="s">
        <v>24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  <c r="O208" s="13"/>
      <c r="P208" s="12"/>
    </row>
    <row r="209" spans="1:16" ht="16.5" customHeight="1" x14ac:dyDescent="0.2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  <c r="O209" s="13"/>
      <c r="P209" s="12"/>
    </row>
    <row r="210" spans="1:16" ht="16.5" customHeight="1" x14ac:dyDescent="0.2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  <c r="O210" s="13"/>
      <c r="P210" s="12"/>
    </row>
    <row r="211" spans="1:16" ht="16.5" customHeight="1" x14ac:dyDescent="0.25">
      <c r="A211" s="8">
        <v>3440</v>
      </c>
      <c r="B211" s="8" t="s">
        <v>230</v>
      </c>
      <c r="C211" s="8" t="s">
        <v>24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  <c r="O211" s="13"/>
      <c r="P211" s="12"/>
    </row>
    <row r="212" spans="1:16" ht="16.5" customHeight="1" x14ac:dyDescent="0.2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  <c r="O212" s="13"/>
      <c r="P212" s="12"/>
    </row>
    <row r="213" spans="1:16" ht="16.5" customHeight="1" x14ac:dyDescent="0.2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  <c r="O213" s="13"/>
      <c r="P213" s="12"/>
    </row>
    <row r="214" spans="1:16" ht="16.5" customHeight="1" x14ac:dyDescent="0.25">
      <c r="A214" s="8">
        <v>3443</v>
      </c>
      <c r="B214" s="8" t="s">
        <v>233</v>
      </c>
      <c r="C214" s="8" t="s">
        <v>24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  <c r="O214" s="13"/>
      <c r="P214" s="12"/>
    </row>
    <row r="215" spans="1:16" ht="16.5" customHeight="1" x14ac:dyDescent="0.2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  <c r="O215" s="13"/>
      <c r="P215" s="12"/>
    </row>
    <row r="216" spans="1:16" ht="16.5" customHeight="1" x14ac:dyDescent="0.2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  <c r="O216" s="13"/>
      <c r="P216" s="12"/>
    </row>
    <row r="217" spans="1:16" ht="16.5" customHeight="1" x14ac:dyDescent="0.25">
      <c r="A217" s="8">
        <v>3446</v>
      </c>
      <c r="B217" s="8" t="s">
        <v>235</v>
      </c>
      <c r="C217" s="8" t="s">
        <v>20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  <c r="O217" s="13"/>
      <c r="P217" s="12"/>
    </row>
    <row r="218" spans="1:16" ht="16.5" customHeight="1" x14ac:dyDescent="0.2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  <c r="O218" s="13"/>
      <c r="P218" s="12"/>
    </row>
    <row r="219" spans="1:16" ht="16.5" customHeight="1" x14ac:dyDescent="0.2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  <c r="O219" s="13"/>
      <c r="P219" s="12"/>
    </row>
    <row r="220" spans="1:16" ht="16.5" customHeight="1" x14ac:dyDescent="0.25">
      <c r="A220" s="8">
        <v>3449</v>
      </c>
      <c r="B220" s="8" t="s">
        <v>238</v>
      </c>
      <c r="C220" s="8" t="s">
        <v>20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  <c r="O220" s="13"/>
      <c r="P220" s="12"/>
    </row>
    <row r="221" spans="1:16" ht="16.5" customHeight="1" x14ac:dyDescent="0.2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  <c r="O221" s="13"/>
      <c r="P221" s="12"/>
    </row>
    <row r="222" spans="1:16" ht="16.5" customHeight="1" x14ac:dyDescent="0.2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  <c r="O222" s="13"/>
      <c r="P222" s="12"/>
    </row>
    <row r="223" spans="1:16" ht="16.5" customHeight="1" x14ac:dyDescent="0.2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  <c r="O223" s="13"/>
      <c r="P223" s="12"/>
    </row>
    <row r="224" spans="1:16" ht="16.5" customHeight="1" x14ac:dyDescent="0.2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  <c r="O224" s="13"/>
      <c r="P224" s="12"/>
    </row>
    <row r="225" spans="1:16" ht="16.5" customHeight="1" x14ac:dyDescent="0.2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  <c r="O225" s="13"/>
      <c r="P225" s="12"/>
    </row>
    <row r="226" spans="1:16" ht="16.5" customHeight="1" x14ac:dyDescent="0.2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  <c r="O226" s="13"/>
      <c r="P226" s="12"/>
    </row>
    <row r="227" spans="1:16" ht="16.5" customHeight="1" x14ac:dyDescent="0.2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  <c r="O227" s="13"/>
      <c r="P227" s="12"/>
    </row>
    <row r="228" spans="1:16" ht="16.5" customHeight="1" x14ac:dyDescent="0.2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  <c r="O228" s="13"/>
      <c r="P228" s="12"/>
    </row>
    <row r="229" spans="1:16" ht="16.5" customHeight="1" x14ac:dyDescent="0.2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  <c r="O229" s="13"/>
      <c r="P229" s="12"/>
    </row>
    <row r="230" spans="1:16" ht="16.5" customHeight="1" x14ac:dyDescent="0.2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  <c r="O230" s="13"/>
      <c r="P230" s="12"/>
    </row>
    <row r="231" spans="1:16" ht="16.5" customHeight="1" x14ac:dyDescent="0.2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  <c r="O231" s="13"/>
      <c r="P231" s="12"/>
    </row>
    <row r="232" spans="1:16" ht="16.5" customHeight="1" x14ac:dyDescent="0.25">
      <c r="A232" s="8">
        <v>3461</v>
      </c>
      <c r="B232" s="8" t="s">
        <v>247</v>
      </c>
      <c r="C232" s="8" t="s">
        <v>20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  <c r="O232" s="13"/>
      <c r="P232" s="12"/>
    </row>
    <row r="233" spans="1:16" ht="16.5" customHeight="1" x14ac:dyDescent="0.2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  <c r="O233" s="13"/>
      <c r="P233" s="12"/>
    </row>
    <row r="234" spans="1:16" ht="16.5" customHeight="1" x14ac:dyDescent="0.2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  <c r="O234" s="13"/>
      <c r="P234" s="12"/>
    </row>
    <row r="235" spans="1:16" ht="16.5" customHeight="1" x14ac:dyDescent="0.25">
      <c r="A235" s="8">
        <v>3464</v>
      </c>
      <c r="B235" s="8" t="s">
        <v>250</v>
      </c>
      <c r="C235" s="8" t="s">
        <v>24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  <c r="O235" s="13"/>
      <c r="P235" s="12"/>
    </row>
    <row r="236" spans="1:16" ht="16.5" customHeight="1" x14ac:dyDescent="0.2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  <c r="O236" s="13"/>
      <c r="P236" s="12"/>
    </row>
    <row r="237" spans="1:16" ht="16.5" customHeight="1" x14ac:dyDescent="0.2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  <c r="O237" s="13"/>
      <c r="P237" s="12"/>
    </row>
    <row r="238" spans="1:16" ht="16.5" customHeight="1" x14ac:dyDescent="0.25">
      <c r="A238" s="8">
        <v>3467</v>
      </c>
      <c r="B238" s="8" t="s">
        <v>253</v>
      </c>
      <c r="C238" s="8" t="s">
        <v>20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  <c r="O238" s="13"/>
      <c r="P238" s="12"/>
    </row>
    <row r="239" spans="1:16" ht="16.5" customHeight="1" x14ac:dyDescent="0.2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  <c r="O239" s="13"/>
      <c r="P239" s="12"/>
    </row>
    <row r="240" spans="1:16" ht="16.5" customHeight="1" x14ac:dyDescent="0.2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  <c r="O240" s="13"/>
      <c r="P240" s="12"/>
    </row>
    <row r="241" spans="1:16" ht="16.5" customHeight="1" x14ac:dyDescent="0.25">
      <c r="A241" s="8">
        <v>3470</v>
      </c>
      <c r="B241" s="8" t="s">
        <v>256</v>
      </c>
      <c r="C241" s="8" t="s">
        <v>24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  <c r="O241" s="13"/>
      <c r="P241" s="12"/>
    </row>
    <row r="242" spans="1:16" ht="16.5" customHeight="1" x14ac:dyDescent="0.2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  <c r="O242" s="13"/>
      <c r="P242" s="12"/>
    </row>
    <row r="243" spans="1:16" ht="16.5" customHeight="1" x14ac:dyDescent="0.2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  <c r="O243" s="13"/>
      <c r="P243" s="12"/>
    </row>
    <row r="244" spans="1:16" ht="16.5" customHeight="1" x14ac:dyDescent="0.25">
      <c r="A244" s="8">
        <v>3473</v>
      </c>
      <c r="B244" s="8" t="s">
        <v>167</v>
      </c>
      <c r="C244" s="8" t="s">
        <v>20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  <c r="O244" s="13"/>
      <c r="P244" s="12"/>
    </row>
    <row r="245" spans="1:16" ht="16.5" customHeight="1" x14ac:dyDescent="0.2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  <c r="O245" s="13"/>
      <c r="P245" s="12"/>
    </row>
    <row r="246" spans="1:16" ht="16.5" customHeight="1" x14ac:dyDescent="0.2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  <c r="O246" s="13"/>
      <c r="P246" s="12"/>
    </row>
    <row r="247" spans="1:16" ht="16.5" customHeight="1" x14ac:dyDescent="0.25">
      <c r="A247" s="8">
        <v>3476</v>
      </c>
      <c r="B247" s="8" t="s">
        <v>261</v>
      </c>
      <c r="C247" s="8" t="s">
        <v>20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  <c r="O247" s="13"/>
      <c r="P247" s="12"/>
    </row>
    <row r="248" spans="1:16" ht="16.5" customHeight="1" x14ac:dyDescent="0.2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  <c r="O248" s="13"/>
      <c r="P248" s="12"/>
    </row>
    <row r="249" spans="1:16" ht="16.5" customHeight="1" x14ac:dyDescent="0.2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  <c r="O249" s="13"/>
      <c r="P249" s="12"/>
    </row>
    <row r="250" spans="1:16" ht="16.5" customHeight="1" x14ac:dyDescent="0.25">
      <c r="A250" s="8">
        <v>3479</v>
      </c>
      <c r="B250" s="8" t="s">
        <v>264</v>
      </c>
      <c r="C250" s="8" t="s">
        <v>20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  <c r="O250" s="13"/>
      <c r="P250" s="12"/>
    </row>
    <row r="251" spans="1:16" ht="16.5" customHeight="1" x14ac:dyDescent="0.2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  <c r="O251" s="13"/>
      <c r="P251" s="12"/>
    </row>
    <row r="252" spans="1:16" ht="16.5" customHeight="1" x14ac:dyDescent="0.2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  <c r="O252" s="13"/>
      <c r="P252" s="12"/>
    </row>
    <row r="253" spans="1:16" ht="16.5" customHeight="1" x14ac:dyDescent="0.25">
      <c r="A253" s="8">
        <v>3482</v>
      </c>
      <c r="B253" s="8" t="s">
        <v>267</v>
      </c>
      <c r="C253" s="8" t="s">
        <v>20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  <c r="O253" s="13"/>
      <c r="P253" s="12"/>
    </row>
    <row r="254" spans="1:16" ht="16.5" customHeight="1" x14ac:dyDescent="0.2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  <c r="O254" s="13"/>
      <c r="P254" s="12"/>
    </row>
    <row r="255" spans="1:16" ht="16.5" customHeight="1" x14ac:dyDescent="0.2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  <c r="O255" s="13"/>
      <c r="P255" s="12"/>
    </row>
    <row r="256" spans="1:16" ht="16.5" customHeight="1" x14ac:dyDescent="0.25">
      <c r="A256" s="8">
        <v>3485</v>
      </c>
      <c r="B256" s="8" t="s">
        <v>270</v>
      </c>
      <c r="C256" s="8" t="s">
        <v>24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  <c r="O256" s="13"/>
      <c r="P256" s="12"/>
    </row>
    <row r="257" spans="1:16" ht="16.5" customHeight="1" x14ac:dyDescent="0.2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  <c r="O257" s="13"/>
      <c r="P257" s="12"/>
    </row>
    <row r="258" spans="1:16" ht="16.5" customHeight="1" x14ac:dyDescent="0.25">
      <c r="A258" s="8">
        <v>3487</v>
      </c>
      <c r="B258" s="8" t="s">
        <v>272</v>
      </c>
      <c r="C258" s="8" t="s">
        <v>20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  <c r="O258" s="13"/>
      <c r="P258" s="12"/>
    </row>
    <row r="259" spans="1:16" ht="16.5" customHeight="1" x14ac:dyDescent="0.2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  <c r="O259" s="13"/>
      <c r="P259" s="12"/>
    </row>
    <row r="260" spans="1:16" ht="16.5" customHeight="1" x14ac:dyDescent="0.2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  <c r="O260" s="13"/>
      <c r="P260" s="12"/>
    </row>
    <row r="261" spans="1:16" ht="16.5" customHeight="1" x14ac:dyDescent="0.2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  <c r="O261" s="13"/>
      <c r="P261" s="12"/>
    </row>
    <row r="262" spans="1:16" ht="16.5" customHeight="1" x14ac:dyDescent="0.2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  <c r="O262" s="13"/>
      <c r="P262" s="12"/>
    </row>
    <row r="263" spans="1:16" ht="16.5" customHeight="1" x14ac:dyDescent="0.2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  <c r="O263" s="13"/>
      <c r="P263" s="12"/>
    </row>
    <row r="264" spans="1:16" ht="16.5" customHeight="1" x14ac:dyDescent="0.2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  <c r="O264" s="13"/>
      <c r="P264" s="12"/>
    </row>
    <row r="265" spans="1:16" ht="16.5" customHeight="1" x14ac:dyDescent="0.2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  <c r="O265" s="13"/>
      <c r="P265" s="12"/>
    </row>
    <row r="266" spans="1:16" ht="16.5" customHeight="1" x14ac:dyDescent="0.2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  <c r="O266" s="13"/>
      <c r="P266" s="12"/>
    </row>
    <row r="267" spans="1:16" ht="16.5" customHeight="1" x14ac:dyDescent="0.25">
      <c r="A267" s="8">
        <v>3496</v>
      </c>
      <c r="B267" s="8" t="s">
        <v>281</v>
      </c>
      <c r="C267" s="8" t="s">
        <v>24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  <c r="O267" s="13"/>
      <c r="P267" s="12"/>
    </row>
    <row r="268" spans="1:16" ht="16.5" customHeight="1" x14ac:dyDescent="0.2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  <c r="O268" s="13"/>
      <c r="P268" s="12"/>
    </row>
    <row r="269" spans="1:16" ht="16.5" customHeight="1" x14ac:dyDescent="0.2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  <c r="O269" s="13"/>
      <c r="P269" s="12"/>
    </row>
    <row r="270" spans="1:16" ht="16.5" customHeight="1" x14ac:dyDescent="0.2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  <c r="O270" s="13"/>
      <c r="P270" s="12"/>
    </row>
    <row r="271" spans="1:16" ht="16.5" customHeight="1" x14ac:dyDescent="0.2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  <c r="O271" s="13"/>
      <c r="P271" s="12"/>
    </row>
    <row r="272" spans="1:16" ht="16.5" customHeight="1" x14ac:dyDescent="0.2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  <c r="O272" s="13"/>
      <c r="P272" s="12"/>
    </row>
    <row r="273" spans="1:16" ht="16.5" customHeight="1" x14ac:dyDescent="0.2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  <c r="O273" s="13"/>
      <c r="P273" s="12"/>
    </row>
    <row r="274" spans="1:16" ht="16.5" customHeight="1" x14ac:dyDescent="0.2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  <c r="O274" s="13"/>
      <c r="P274" s="12"/>
    </row>
    <row r="275" spans="1:16" ht="16.5" customHeight="1" x14ac:dyDescent="0.2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  <c r="O275" s="13"/>
      <c r="P275" s="12"/>
    </row>
    <row r="276" spans="1:16" ht="16.5" customHeight="1" x14ac:dyDescent="0.2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  <c r="O276" s="13"/>
      <c r="P276" s="12"/>
    </row>
    <row r="277" spans="1:16" ht="16.5" customHeight="1" x14ac:dyDescent="0.2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  <c r="O277" s="13"/>
      <c r="P277" s="12"/>
    </row>
    <row r="278" spans="1:16" ht="16.5" customHeight="1" x14ac:dyDescent="0.2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  <c r="O278" s="13"/>
      <c r="P278" s="12"/>
    </row>
    <row r="279" spans="1:16" ht="16.5" customHeight="1" x14ac:dyDescent="0.25">
      <c r="A279" s="8">
        <v>3508</v>
      </c>
      <c r="B279" s="8" t="s">
        <v>292</v>
      </c>
      <c r="C279" s="8" t="s">
        <v>20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  <c r="O279" s="13"/>
      <c r="P279" s="12"/>
    </row>
    <row r="280" spans="1:16" ht="16.5" customHeight="1" x14ac:dyDescent="0.2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  <c r="O280" s="13"/>
      <c r="P280" s="12"/>
    </row>
    <row r="281" spans="1:16" ht="16.5" customHeight="1" x14ac:dyDescent="0.2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  <c r="O281" s="13"/>
      <c r="P281" s="12"/>
    </row>
    <row r="282" spans="1:16" ht="16.5" customHeight="1" x14ac:dyDescent="0.2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  <c r="O282" s="13"/>
      <c r="P282" s="12"/>
    </row>
    <row r="283" spans="1:16" ht="16.5" customHeight="1" x14ac:dyDescent="0.2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  <c r="O283" s="13"/>
      <c r="P283" s="12"/>
    </row>
    <row r="284" spans="1:16" ht="16.5" customHeight="1" x14ac:dyDescent="0.2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  <c r="O284" s="13"/>
      <c r="P284" s="12"/>
    </row>
    <row r="285" spans="1:16" ht="16.5" customHeight="1" x14ac:dyDescent="0.25">
      <c r="A285" s="8">
        <v>3514</v>
      </c>
      <c r="B285" s="8" t="s">
        <v>298</v>
      </c>
      <c r="C285" s="8" t="s">
        <v>20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  <c r="O285" s="13"/>
      <c r="P285" s="12"/>
    </row>
    <row r="286" spans="1:16" ht="16.5" customHeight="1" x14ac:dyDescent="0.2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  <c r="O286" s="13"/>
      <c r="P286" s="12"/>
    </row>
    <row r="287" spans="1:16" ht="16.5" customHeight="1" x14ac:dyDescent="0.2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  <c r="O287" s="13"/>
      <c r="P287" s="12"/>
    </row>
    <row r="288" spans="1:16" ht="16.5" customHeight="1" x14ac:dyDescent="0.25">
      <c r="A288" s="8">
        <v>3517</v>
      </c>
      <c r="B288" s="8" t="s">
        <v>208</v>
      </c>
      <c r="C288" s="8" t="s">
        <v>20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  <c r="O288" s="13"/>
      <c r="P288" s="12"/>
    </row>
    <row r="289" spans="1:16" ht="16.5" customHeight="1" x14ac:dyDescent="0.2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  <c r="O289" s="13"/>
      <c r="P289" s="12"/>
    </row>
    <row r="290" spans="1:16" ht="16.5" customHeight="1" x14ac:dyDescent="0.2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  <c r="O290" s="13"/>
      <c r="P290" s="12"/>
    </row>
    <row r="291" spans="1:16" ht="16.5" customHeight="1" x14ac:dyDescent="0.25">
      <c r="A291" s="8">
        <v>3520</v>
      </c>
      <c r="B291" s="8" t="s">
        <v>301</v>
      </c>
      <c r="C291" s="8" t="s">
        <v>20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  <c r="O291" s="13"/>
      <c r="P291" s="12"/>
    </row>
    <row r="292" spans="1:16" ht="16.5" customHeight="1" x14ac:dyDescent="0.2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  <c r="O292" s="13"/>
      <c r="P292" s="12"/>
    </row>
    <row r="293" spans="1:16" ht="16.5" customHeight="1" x14ac:dyDescent="0.2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  <c r="O293" s="13"/>
      <c r="P293" s="12"/>
    </row>
    <row r="294" spans="1:16" ht="16.5" customHeight="1" x14ac:dyDescent="0.25">
      <c r="A294" s="8">
        <v>3523</v>
      </c>
      <c r="B294" s="8" t="s">
        <v>304</v>
      </c>
      <c r="C294" s="8" t="s">
        <v>24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  <c r="O294" s="13"/>
      <c r="P294" s="12"/>
    </row>
    <row r="295" spans="1:16" ht="16.5" customHeight="1" x14ac:dyDescent="0.2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  <c r="O295" s="12"/>
      <c r="P295" s="12"/>
    </row>
    <row r="296" spans="1:16" ht="16.5" customHeight="1" x14ac:dyDescent="0.2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  <c r="O296" s="12"/>
      <c r="P296" s="12"/>
    </row>
    <row r="297" spans="1:16" x14ac:dyDescent="0.25">
      <c r="O297" s="12"/>
      <c r="P297" s="12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33"/>
  <sheetViews>
    <sheetView showGridLines="0" workbookViewId="0">
      <selection activeCell="D28" sqref="D2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4.42578125" bestFit="1" customWidth="1"/>
    <col min="5" max="5" width="11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7" ht="15.75" x14ac:dyDescent="0.25">
      <c r="B2" s="18" t="s">
        <v>316</v>
      </c>
      <c r="C2" s="18"/>
      <c r="D2" s="18"/>
      <c r="E2" s="18"/>
      <c r="F2" s="18"/>
      <c r="G2" s="18"/>
    </row>
    <row r="4" spans="2:7" x14ac:dyDescent="0.25">
      <c r="B4" t="s">
        <v>311</v>
      </c>
    </row>
    <row r="5" spans="2:7" x14ac:dyDescent="0.25">
      <c r="B5" s="15" t="s">
        <v>315</v>
      </c>
    </row>
    <row r="6" spans="2:7" x14ac:dyDescent="0.25">
      <c r="B6" s="15"/>
    </row>
    <row r="7" spans="2:7" x14ac:dyDescent="0.25">
      <c r="B7" s="14" t="s">
        <v>14</v>
      </c>
      <c r="C7" t="s">
        <v>18</v>
      </c>
    </row>
    <row r="9" spans="2:7" x14ac:dyDescent="0.25">
      <c r="B9" s="14" t="s">
        <v>312</v>
      </c>
      <c r="C9" t="s">
        <v>314</v>
      </c>
    </row>
    <row r="10" spans="2:7" x14ac:dyDescent="0.25">
      <c r="B10" s="15" t="s">
        <v>21</v>
      </c>
      <c r="C10" s="16">
        <v>2824</v>
      </c>
    </row>
    <row r="11" spans="2:7" x14ac:dyDescent="0.25">
      <c r="B11" s="15" t="s">
        <v>17</v>
      </c>
      <c r="C11" s="16">
        <v>747</v>
      </c>
    </row>
    <row r="12" spans="2:7" x14ac:dyDescent="0.25">
      <c r="B12" s="15" t="s">
        <v>313</v>
      </c>
      <c r="C12" s="16">
        <v>3571</v>
      </c>
    </row>
    <row r="15" spans="2:7" x14ac:dyDescent="0.25">
      <c r="B15" s="15" t="s">
        <v>320</v>
      </c>
    </row>
    <row r="17" spans="2:6" x14ac:dyDescent="0.25">
      <c r="B17" s="14" t="s">
        <v>14</v>
      </c>
      <c r="C17" t="s">
        <v>18</v>
      </c>
    </row>
    <row r="19" spans="2:6" x14ac:dyDescent="0.25">
      <c r="B19" s="14" t="s">
        <v>312</v>
      </c>
      <c r="C19" t="s">
        <v>321</v>
      </c>
    </row>
    <row r="20" spans="2:6" x14ac:dyDescent="0.25">
      <c r="B20" s="15" t="s">
        <v>20</v>
      </c>
      <c r="C20" s="20">
        <v>570</v>
      </c>
    </row>
    <row r="21" spans="2:6" x14ac:dyDescent="0.25">
      <c r="B21" s="15" t="s">
        <v>24</v>
      </c>
      <c r="C21" s="20">
        <v>480</v>
      </c>
    </row>
    <row r="22" spans="2:6" x14ac:dyDescent="0.25">
      <c r="B22" s="15" t="s">
        <v>16</v>
      </c>
      <c r="C22" s="20">
        <v>300</v>
      </c>
      <c r="E22" t="s">
        <v>322</v>
      </c>
      <c r="F22" s="17" t="s">
        <v>323</v>
      </c>
    </row>
    <row r="23" spans="2:6" x14ac:dyDescent="0.25">
      <c r="B23" s="15" t="s">
        <v>313</v>
      </c>
      <c r="C23" s="20">
        <v>1350</v>
      </c>
      <c r="E23">
        <f>GETPIVOTDATA("EA Play Season Pass
Price",$B$19)</f>
        <v>1350</v>
      </c>
      <c r="F23" s="21">
        <f>E23</f>
        <v>1350</v>
      </c>
    </row>
    <row r="25" spans="2:6" x14ac:dyDescent="0.25">
      <c r="B25" t="s">
        <v>324</v>
      </c>
    </row>
    <row r="27" spans="2:6" x14ac:dyDescent="0.25">
      <c r="B27" s="14" t="s">
        <v>14</v>
      </c>
      <c r="C27" t="s">
        <v>18</v>
      </c>
    </row>
    <row r="29" spans="2:6" x14ac:dyDescent="0.25">
      <c r="B29" s="14" t="s">
        <v>312</v>
      </c>
      <c r="C29" t="s">
        <v>325</v>
      </c>
    </row>
    <row r="30" spans="2:6" x14ac:dyDescent="0.25">
      <c r="B30" s="15" t="s">
        <v>20</v>
      </c>
      <c r="C30" s="16">
        <v>380</v>
      </c>
    </row>
    <row r="31" spans="2:6" x14ac:dyDescent="0.25">
      <c r="B31" s="15" t="s">
        <v>24</v>
      </c>
      <c r="C31" s="16">
        <v>1220</v>
      </c>
    </row>
    <row r="32" spans="2:6" x14ac:dyDescent="0.25">
      <c r="B32" s="15" t="s">
        <v>16</v>
      </c>
      <c r="C32" s="16">
        <v>200</v>
      </c>
      <c r="E32" t="s">
        <v>322</v>
      </c>
      <c r="F32" s="17" t="s">
        <v>323</v>
      </c>
    </row>
    <row r="33" spans="2:6" x14ac:dyDescent="0.25">
      <c r="B33" s="15" t="s">
        <v>313</v>
      </c>
      <c r="C33" s="16">
        <v>1800</v>
      </c>
      <c r="E33">
        <f>GETPIVOTDATA("Minecraft Season Pass Price",$B$29)</f>
        <v>1800</v>
      </c>
      <c r="F33" s="21">
        <f>E33</f>
        <v>1800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W175"/>
  <sheetViews>
    <sheetView showGridLines="0" showRowColHeaders="0" tabSelected="1" zoomScaleNormal="100" workbookViewId="0">
      <selection activeCell="X18" sqref="X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4" customWidth="1"/>
    <col min="2" max="2" width="16.5703125" customWidth="1"/>
    <col min="12" max="12" width="6.5703125" customWidth="1"/>
    <col min="23" max="23" width="6.42578125" customWidth="1"/>
  </cols>
  <sheetData>
    <row r="2" spans="1:23" ht="39" customHeight="1" thickBot="1" x14ac:dyDescent="0.5">
      <c r="C2" s="19" t="s">
        <v>319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2"/>
      <c r="S2" s="22"/>
      <c r="T2" s="22"/>
      <c r="U2" s="22"/>
      <c r="V2" s="22"/>
      <c r="W2" s="22"/>
    </row>
    <row r="3" spans="1:23" ht="39" customHeight="1" thickTop="1" x14ac:dyDescent="0.25"/>
    <row r="4" spans="1:23" s="7" customFormat="1" x14ac:dyDescent="0.25">
      <c r="A4" s="23" t="s">
        <v>326</v>
      </c>
    </row>
    <row r="5" spans="1:23" s="7" customFormat="1" ht="7.5" hidden="1" customHeight="1" x14ac:dyDescent="0.25">
      <c r="A5" s="4"/>
    </row>
    <row r="6" spans="1:23" s="7" customFormat="1" ht="30.75" customHeight="1" x14ac:dyDescent="0.3">
      <c r="A6" s="4"/>
      <c r="B6" s="24"/>
    </row>
    <row r="7" spans="1:23" s="7" customFormat="1" ht="9.75" customHeight="1" x14ac:dyDescent="0.25">
      <c r="A7" s="4"/>
    </row>
    <row r="8" spans="1:23" s="7" customFormat="1" ht="33" customHeigh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Boiani</cp:lastModifiedBy>
  <dcterms:created xsi:type="dcterms:W3CDTF">2024-12-19T13:13:10Z</dcterms:created>
  <dcterms:modified xsi:type="dcterms:W3CDTF">2026-01-04T00:37:22Z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